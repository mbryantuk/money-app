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D72F53B6A8F0D9/Money/"/>
    </mc:Choice>
  </mc:AlternateContent>
  <xr:revisionPtr revIDLastSave="783" documentId="8_{DF20A450-7872-4C5C-8BAA-A2B4C38FB5E8}" xr6:coauthVersionLast="47" xr6:coauthVersionMax="47" xr10:uidLastSave="{F1F7F20B-A738-47C1-9C03-50C4812F1024}"/>
  <bookViews>
    <workbookView xWindow="-110" yWindow="-110" windowWidth="25820" windowHeight="13900" firstSheet="1" activeTab="3" xr2:uid="{00000000-000D-0000-FFFF-FFFF00000000}"/>
  </bookViews>
  <sheets>
    <sheet name="april " sheetId="37" state="hidden" r:id="rId1"/>
    <sheet name="feb26" sheetId="101" r:id="rId2"/>
    <sheet name="jan26" sheetId="100" r:id="rId3"/>
    <sheet name="dec25" sheetId="99" r:id="rId4"/>
    <sheet name="nov25" sheetId="97" r:id="rId5"/>
    <sheet name="oct25" sheetId="96" r:id="rId6"/>
    <sheet name="sept25" sheetId="94" r:id="rId7"/>
    <sheet name="aug25" sheetId="93" r:id="rId8"/>
    <sheet name="july25" sheetId="92" r:id="rId9"/>
    <sheet name="xmas" sheetId="47" r:id="rId10"/>
    <sheet name="june25" sheetId="91" r:id="rId11"/>
    <sheet name="may25" sheetId="90" r:id="rId12"/>
    <sheet name="april25" sheetId="89" r:id="rId13"/>
    <sheet name="mar25" sheetId="88" r:id="rId14"/>
    <sheet name="feb25" sheetId="87" r:id="rId15"/>
    <sheet name="jan25" sheetId="84" r:id="rId16"/>
    <sheet name="minium 25" sheetId="95" r:id="rId17"/>
    <sheet name="dec24" sheetId="83" state="hidden" r:id="rId18"/>
    <sheet name="nov24" sheetId="82" state="hidden" r:id="rId19"/>
    <sheet name="oct24" sheetId="81" state="hidden" r:id="rId20"/>
    <sheet name="may24" sheetId="74" state="hidden" r:id="rId21"/>
    <sheet name="sept24" sheetId="80" state="hidden" r:id="rId22"/>
    <sheet name="aug 24" sheetId="79" state="hidden" r:id="rId23"/>
    <sheet name="july" sheetId="78" state="hidden" r:id="rId24"/>
    <sheet name="june24" sheetId="77" state="hidden" r:id="rId25"/>
    <sheet name="apr24" sheetId="73" state="hidden" r:id="rId26"/>
    <sheet name="mar24" sheetId="72" state="hidden" r:id="rId27"/>
    <sheet name="feb24" sheetId="71" state="hidden" r:id="rId28"/>
    <sheet name="jan24" sheetId="69" state="hidden" r:id="rId29"/>
    <sheet name="dec23" sheetId="68" state="hidden" r:id="rId30"/>
    <sheet name="nov23" sheetId="67" state="hidden" r:id="rId31"/>
    <sheet name="oct23" sheetId="66" state="hidden" r:id="rId32"/>
    <sheet name="sept23" sheetId="65" state="hidden" r:id="rId33"/>
    <sheet name="aug24" sheetId="64" state="hidden" r:id="rId34"/>
    <sheet name="July23" sheetId="60" state="hidden" r:id="rId35"/>
    <sheet name="june23" sheetId="59" state="hidden" r:id="rId36"/>
    <sheet name="may23" sheetId="57" state="hidden" r:id="rId37"/>
    <sheet name="aprl23" sheetId="56" state="hidden" r:id="rId38"/>
    <sheet name="mar23" sheetId="54" state="hidden" r:id="rId39"/>
    <sheet name="feb23" sheetId="53" state="hidden" r:id="rId40"/>
    <sheet name="Jan23" sheetId="52" state="hidden" r:id="rId41"/>
    <sheet name="dec" sheetId="51" state="hidden" r:id="rId42"/>
    <sheet name="nov22" sheetId="49" state="hidden" r:id="rId43"/>
    <sheet name="oct2" sheetId="48" state="hidden" r:id="rId44"/>
    <sheet name="oct22" sheetId="46" state="hidden" r:id="rId45"/>
    <sheet name="sept" sheetId="45" state="hidden" r:id="rId46"/>
    <sheet name="aug22" sheetId="44" state="hidden" r:id="rId47"/>
    <sheet name="july22" sheetId="43" state="hidden" r:id="rId48"/>
    <sheet name="june" sheetId="41" state="hidden" r:id="rId49"/>
    <sheet name="may22" sheetId="40" state="hidden" r:id="rId50"/>
    <sheet name="april22" sheetId="39" state="hidden" r:id="rId51"/>
    <sheet name="march22" sheetId="38" state="hidden" r:id="rId52"/>
    <sheet name="Feb22" sheetId="36" state="hidden" r:id="rId53"/>
    <sheet name="jAN22" sheetId="35" state="hidden" r:id="rId54"/>
    <sheet name="FebEstimate" sheetId="58" state="hidden" r:id="rId55"/>
    <sheet name="Minimum" sheetId="42" state="hidden" r:id="rId56"/>
    <sheet name="eBay (2)" sheetId="75" state="hidden" r:id="rId57"/>
    <sheet name="eBay" sheetId="63" state="hidden" r:id="rId58"/>
    <sheet name="emergancy month" sheetId="76" r:id="rId59"/>
    <sheet name="Sheet3" sheetId="98" r:id="rId60"/>
    <sheet name="min new" sheetId="85" state="hidden" r:id="rId61"/>
    <sheet name="Goals" sheetId="86" r:id="rId62"/>
    <sheet name="Sheet5" sheetId="70" state="hidden" r:id="rId63"/>
    <sheet name="dec21" sheetId="34" state="hidden" r:id="rId64"/>
    <sheet name="Nov21" sheetId="33" state="hidden" r:id="rId65"/>
    <sheet name="Oct21" sheetId="30" state="hidden" r:id="rId66"/>
    <sheet name="Sept21" sheetId="28" state="hidden" r:id="rId67"/>
    <sheet name="Aug21" sheetId="27" state="hidden" r:id="rId68"/>
    <sheet name="july21" sheetId="26" state="hidden" r:id="rId69"/>
    <sheet name="NewMoney" sheetId="25" state="hidden" r:id="rId70"/>
    <sheet name="june21" sheetId="24" state="hidden" r:id="rId71"/>
    <sheet name="may21" sheetId="23" state="hidden" r:id="rId72"/>
    <sheet name="apr21" sheetId="22" state="hidden" r:id="rId73"/>
    <sheet name="march21" sheetId="21" state="hidden" r:id="rId74"/>
    <sheet name="feb 21" sheetId="20" state="hidden" r:id="rId75"/>
    <sheet name="jan21" sheetId="19" state="hidden" r:id="rId76"/>
    <sheet name="dec202" sheetId="18" state="hidden" r:id="rId77"/>
    <sheet name="Nov2020" sheetId="16" state="hidden" r:id="rId78"/>
    <sheet name="Oct2020" sheetId="15" state="hidden" r:id="rId79"/>
    <sheet name="sept2020" sheetId="14" state="hidden" r:id="rId80"/>
    <sheet name="aug2020" sheetId="13" state="hidden" r:id="rId81"/>
    <sheet name="Summary" sheetId="10" state="hidden" r:id="rId82"/>
    <sheet name="Jul2020" sheetId="12" state="hidden" r:id="rId83"/>
    <sheet name="Jun2020" sheetId="1" state="hidden" r:id="rId84"/>
    <sheet name="May2020" sheetId="9" state="hidden" r:id="rId85"/>
    <sheet name="Apr2020" sheetId="8" state="hidden" r:id="rId86"/>
    <sheet name="Sheet1" sheetId="31" state="hidden" r:id="rId87"/>
    <sheet name="Sheet2" sheetId="32" state="hidden" r:id="rId88"/>
    <sheet name="Mar2020" sheetId="7" state="hidden" r:id="rId89"/>
    <sheet name="Feb2020" sheetId="6" state="hidden" r:id="rId90"/>
    <sheet name="Jan2020" sheetId="5" state="hidden" r:id="rId91"/>
    <sheet name="min" sheetId="29" state="hidden" r:id="rId92"/>
  </sheets>
  <definedNames>
    <definedName name="_xlnm._FilterDatabase" localSheetId="85" hidden="1">'Apr2020'!$I$2:$K$46</definedName>
    <definedName name="_xlnm._FilterDatabase" localSheetId="72">'apr21'!$I$2:$L$40</definedName>
    <definedName name="_xlnm._FilterDatabase" localSheetId="25">'apr24'!$G$1:$J$32</definedName>
    <definedName name="_xlnm._FilterDatabase" localSheetId="0">'april '!$I$2:$L$33</definedName>
    <definedName name="_xlnm._FilterDatabase" localSheetId="50">april22!$I$2:$L$33</definedName>
    <definedName name="_xlnm._FilterDatabase" localSheetId="12">april25!$G$1:$J$32</definedName>
    <definedName name="_xlnm._FilterDatabase" localSheetId="37">aprl23!$G$1:$J$32</definedName>
    <definedName name="_xlnm._FilterDatabase" localSheetId="22">'aug 24'!$G$1:$J$32</definedName>
    <definedName name="_xlnm._FilterDatabase" localSheetId="80" hidden="1">'aug2020'!$I$2:$K$40</definedName>
    <definedName name="_xlnm._FilterDatabase" localSheetId="67">'Aug21'!$I$2:$L$33</definedName>
    <definedName name="_xlnm._FilterDatabase" localSheetId="46">'aug22'!$I$2:$L$33</definedName>
    <definedName name="_xlnm._FilterDatabase" localSheetId="33">'aug24'!$G$1:$J$32</definedName>
    <definedName name="_xlnm._FilterDatabase" localSheetId="7">'aug25'!$H$1:$K$32</definedName>
    <definedName name="_xlnm._FilterDatabase" localSheetId="41">dec!$I$2:$L$33</definedName>
    <definedName name="_xlnm._FilterDatabase" localSheetId="76" hidden="1">'dec202'!$I$2:$K$40</definedName>
    <definedName name="_xlnm._FilterDatabase" localSheetId="63">'dec21'!$I$2:$L$33</definedName>
    <definedName name="_xlnm._FilterDatabase" localSheetId="29">'dec23'!$G$1:$J$32</definedName>
    <definedName name="_xlnm._FilterDatabase" localSheetId="17">'dec24'!$G$1:$J$32</definedName>
    <definedName name="_xlnm._FilterDatabase" localSheetId="3">'dec25'!$H$1:$K$32</definedName>
    <definedName name="_xlnm._FilterDatabase" localSheetId="57" hidden="1">eBay!$A$1:$K$1</definedName>
    <definedName name="_xlnm._FilterDatabase" localSheetId="56" hidden="1">'eBay (2)'!$A$1:$K$1</definedName>
    <definedName name="_xlnm._FilterDatabase" localSheetId="58">'emergancy month'!$I$2:$L$33</definedName>
    <definedName name="_xlnm._FilterDatabase" localSheetId="74" hidden="1">'feb 21'!$I$2:$K$40</definedName>
    <definedName name="_xlnm._FilterDatabase" localSheetId="89" hidden="1">'Feb2020'!$I$2:$K$2</definedName>
    <definedName name="_xlnm._FilterDatabase" localSheetId="52">'Feb22'!$I$2:$L$33</definedName>
    <definedName name="_xlnm._FilterDatabase" localSheetId="39">'feb23'!$I$2:$L$33</definedName>
    <definedName name="_xlnm._FilterDatabase" localSheetId="27">'feb24'!$G$1:$J$32</definedName>
    <definedName name="_xlnm._FilterDatabase" localSheetId="14">'feb25'!$G$1:$J$32</definedName>
    <definedName name="_xlnm._FilterDatabase" localSheetId="1">'feb26'!$H$1:$K$32</definedName>
    <definedName name="_xlnm._FilterDatabase" localSheetId="54">FebEstimate!$G$1:$J$32</definedName>
    <definedName name="_xlnm._FilterDatabase" localSheetId="90" hidden="1">'Jan2020'!$I$2:$K$41</definedName>
    <definedName name="_xlnm._FilterDatabase" localSheetId="75" hidden="1">'jan21'!$I$2:$K$40</definedName>
    <definedName name="_xlnm._FilterDatabase" localSheetId="53">'jAN22'!$I$2:$L$33</definedName>
    <definedName name="_xlnm._FilterDatabase" localSheetId="40">'Jan23'!$I$2:$L$33</definedName>
    <definedName name="_xlnm._FilterDatabase" localSheetId="28">'jan24'!$G$1:$J$32</definedName>
    <definedName name="_xlnm._FilterDatabase" localSheetId="15">'jan25'!$G$1:$J$32</definedName>
    <definedName name="_xlnm._FilterDatabase" localSheetId="2">'jan26'!$H$1:$K$32</definedName>
    <definedName name="_xlnm._FilterDatabase" localSheetId="82" hidden="1">'Jul2020'!$I$2:$K$40</definedName>
    <definedName name="_xlnm._FilterDatabase" localSheetId="23">july!$G$1:$J$32</definedName>
    <definedName name="_xlnm._FilterDatabase" localSheetId="68">july21!$I$2:$L$40</definedName>
    <definedName name="_xlnm._FilterDatabase" localSheetId="47">july22!$I$2:$L$33</definedName>
    <definedName name="_xlnm._FilterDatabase" localSheetId="34">July23!$G$1:$J$32</definedName>
    <definedName name="_xlnm._FilterDatabase" localSheetId="8">july25!$G$1:$J$32</definedName>
    <definedName name="_xlnm._FilterDatabase" localSheetId="83" hidden="1">'Jun2020'!$I$2:$K$40</definedName>
    <definedName name="_xlnm._FilterDatabase" localSheetId="48">june!$I$2:$L$33</definedName>
    <definedName name="_xlnm._FilterDatabase" localSheetId="70">june21!$I$2:$L$40</definedName>
    <definedName name="_xlnm._FilterDatabase" localSheetId="35">june23!$G$1:$I$32</definedName>
    <definedName name="_xlnm._FilterDatabase" localSheetId="24">june24!$G$1:$J$32</definedName>
    <definedName name="_xlnm._FilterDatabase" localSheetId="10">june25!$G$1:$J$32</definedName>
    <definedName name="_xlnm._FilterDatabase" localSheetId="88" hidden="1">'Mar2020'!$I$2:$K$2</definedName>
    <definedName name="_xlnm._FilterDatabase" localSheetId="38">'mar23'!$G$1:$J$32</definedName>
    <definedName name="_xlnm._FilterDatabase" localSheetId="26">'mar24'!$G$1:$J$32</definedName>
    <definedName name="_xlnm._FilterDatabase" localSheetId="13">'mar25'!$G$1:$J$32</definedName>
    <definedName name="_xlnm._FilterDatabase" localSheetId="73" hidden="1">march21!$I$2:$K$40</definedName>
    <definedName name="_xlnm._FilterDatabase" localSheetId="51">march22!$I$2:$L$33</definedName>
    <definedName name="_xlnm._FilterDatabase" localSheetId="84" hidden="1">'May2020'!$I$2:$K$46</definedName>
    <definedName name="_xlnm._FilterDatabase" localSheetId="71">'may21'!$I$2:$L$40</definedName>
    <definedName name="_xlnm._FilterDatabase" localSheetId="49">'may22'!$I$2:$L$33</definedName>
    <definedName name="_xlnm._FilterDatabase" localSheetId="36">'may23'!$G$1:$J$32</definedName>
    <definedName name="_xlnm._FilterDatabase" localSheetId="20">'may24'!$G$1:$J$32</definedName>
    <definedName name="_xlnm._FilterDatabase" localSheetId="11">'may25'!$G$1:$J$32</definedName>
    <definedName name="_xlnm._FilterDatabase" localSheetId="91">min!$I$2:$L$33</definedName>
    <definedName name="_xlnm._FilterDatabase" localSheetId="60">'min new'!$G$1:$J$32</definedName>
    <definedName name="_xlnm._FilterDatabase" localSheetId="55">Minimum!$I$2:$L$33</definedName>
    <definedName name="_xlnm._FilterDatabase" localSheetId="16">'minium 25'!$G$1:$J$32</definedName>
    <definedName name="_xlnm._FilterDatabase" localSheetId="69">NewMoney!$I$2:$L$40</definedName>
    <definedName name="_xlnm._FilterDatabase" localSheetId="77" hidden="1">'Nov2020'!$I$2:$K$40</definedName>
    <definedName name="_xlnm._FilterDatabase" localSheetId="64">'Nov21'!$I$2:$L$33</definedName>
    <definedName name="_xlnm._FilterDatabase" localSheetId="42">'nov22'!$I$2:$L$33</definedName>
    <definedName name="_xlnm._FilterDatabase" localSheetId="30">'nov23'!$G$1:$J$32</definedName>
    <definedName name="_xlnm._FilterDatabase" localSheetId="18">'nov24'!$G$1:$J$32</definedName>
    <definedName name="_xlnm._FilterDatabase" localSheetId="4">'nov25'!$H$1:$K$32</definedName>
    <definedName name="_xlnm._FilterDatabase" localSheetId="43">'oct2'!$I$2:$L$33</definedName>
    <definedName name="_xlnm._FilterDatabase" localSheetId="78" hidden="1">'Oct2020'!$I$2:$K$40</definedName>
    <definedName name="_xlnm._FilterDatabase" localSheetId="65">'Oct21'!$I$2:$L$33</definedName>
    <definedName name="_xlnm._FilterDatabase" localSheetId="44">'oct22'!$H$2:$K$33</definedName>
    <definedName name="_xlnm._FilterDatabase" localSheetId="31">'oct23'!$G$1:$J$32</definedName>
    <definedName name="_xlnm._FilterDatabase" localSheetId="19">'oct24'!$G$1:$J$32</definedName>
    <definedName name="_xlnm._FilterDatabase" localSheetId="5">'oct25'!$H$1:$K$32</definedName>
    <definedName name="_xlnm._FilterDatabase" localSheetId="45">sept!$I$2:$L$33</definedName>
    <definedName name="_xlnm._FilterDatabase" localSheetId="79" hidden="1">sept2020!$I$2:$K$40</definedName>
    <definedName name="_xlnm._FilterDatabase" localSheetId="66">Sept21!$I$2:$L$33</definedName>
    <definedName name="_xlnm._FilterDatabase" localSheetId="32">sept23!$G$1:$J$32</definedName>
    <definedName name="_xlnm._FilterDatabase" localSheetId="21">sept24!$G$1:$J$32</definedName>
    <definedName name="_xlnm._FilterDatabase" localSheetId="6">sept25!$H$1:$K$32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" i="101" l="1"/>
  <c r="B17" i="101"/>
  <c r="B15" i="101"/>
  <c r="B14" i="101"/>
  <c r="F11" i="101"/>
  <c r="B10" i="101"/>
  <c r="B9" i="101"/>
  <c r="B8" i="101"/>
  <c r="B7" i="101"/>
  <c r="B5" i="101"/>
  <c r="B6" i="101" s="1"/>
  <c r="B3" i="101"/>
  <c r="I18" i="47"/>
  <c r="B5" i="97"/>
  <c r="B6" i="97" s="1"/>
  <c r="E17" i="47"/>
  <c r="B5" i="94"/>
  <c r="B6" i="94" s="1"/>
  <c r="F21" i="100"/>
  <c r="B15" i="100"/>
  <c r="B14" i="100"/>
  <c r="B17" i="100" s="1"/>
  <c r="F11" i="100"/>
  <c r="B10" i="100"/>
  <c r="B9" i="100"/>
  <c r="B8" i="100"/>
  <c r="B7" i="100"/>
  <c r="B5" i="100"/>
  <c r="B6" i="100" s="1"/>
  <c r="B3" i="100"/>
  <c r="F21" i="99"/>
  <c r="F21" i="97"/>
  <c r="B15" i="99"/>
  <c r="B14" i="99"/>
  <c r="B17" i="99" s="1"/>
  <c r="F11" i="99"/>
  <c r="B10" i="99"/>
  <c r="B9" i="99"/>
  <c r="B8" i="99"/>
  <c r="B7" i="99"/>
  <c r="B5" i="99"/>
  <c r="B6" i="99" s="1"/>
  <c r="B3" i="99"/>
  <c r="B17" i="97"/>
  <c r="B15" i="97"/>
  <c r="B14" i="97"/>
  <c r="F11" i="97"/>
  <c r="B10" i="97"/>
  <c r="B9" i="97"/>
  <c r="B8" i="97"/>
  <c r="B7" i="97"/>
  <c r="B3" i="97"/>
  <c r="F11" i="96"/>
  <c r="F21" i="96" s="1"/>
  <c r="F21" i="94"/>
  <c r="F11" i="94"/>
  <c r="B15" i="96"/>
  <c r="B14" i="96"/>
  <c r="B10" i="96"/>
  <c r="B9" i="96"/>
  <c r="B8" i="96"/>
  <c r="B7" i="96"/>
  <c r="B5" i="96"/>
  <c r="B6" i="96" s="1"/>
  <c r="B3" i="96"/>
  <c r="F21" i="93"/>
  <c r="E21" i="92"/>
  <c r="B22" i="95"/>
  <c r="B21" i="95"/>
  <c r="B24" i="95" s="1"/>
  <c r="B16" i="95"/>
  <c r="E11" i="95"/>
  <c r="B10" i="95"/>
  <c r="B9" i="95"/>
  <c r="B8" i="95"/>
  <c r="B7" i="95"/>
  <c r="B5" i="95"/>
  <c r="B6" i="95" s="1"/>
  <c r="B3" i="95"/>
  <c r="B15" i="94"/>
  <c r="B14" i="94"/>
  <c r="B10" i="94"/>
  <c r="B9" i="94"/>
  <c r="B8" i="94"/>
  <c r="B7" i="94"/>
  <c r="B3" i="94"/>
  <c r="B15" i="93"/>
  <c r="B14" i="93"/>
  <c r="F11" i="93"/>
  <c r="B10" i="93"/>
  <c r="B9" i="93"/>
  <c r="B8" i="93"/>
  <c r="B7" i="93"/>
  <c r="B5" i="93"/>
  <c r="B6" i="93" s="1"/>
  <c r="B3" i="93"/>
  <c r="B22" i="92"/>
  <c r="B21" i="92"/>
  <c r="B24" i="92" s="1"/>
  <c r="B16" i="92"/>
  <c r="E11" i="92"/>
  <c r="B10" i="92"/>
  <c r="B9" i="92"/>
  <c r="B8" i="92"/>
  <c r="B7" i="92"/>
  <c r="B5" i="92"/>
  <c r="B6" i="92" s="1"/>
  <c r="B3" i="92"/>
  <c r="B22" i="91"/>
  <c r="B21" i="91"/>
  <c r="B16" i="91"/>
  <c r="E11" i="91"/>
  <c r="B10" i="91"/>
  <c r="B9" i="91"/>
  <c r="B8" i="91"/>
  <c r="B7" i="91"/>
  <c r="B5" i="91"/>
  <c r="B6" i="91" s="1"/>
  <c r="B3" i="91"/>
  <c r="B5" i="90"/>
  <c r="B6" i="90" s="1"/>
  <c r="B22" i="90"/>
  <c r="B21" i="90"/>
  <c r="B16" i="90"/>
  <c r="E11" i="90"/>
  <c r="B10" i="90"/>
  <c r="B9" i="90"/>
  <c r="B8" i="90"/>
  <c r="B7" i="90"/>
  <c r="B3" i="90"/>
  <c r="B24" i="89"/>
  <c r="B22" i="89"/>
  <c r="B21" i="89"/>
  <c r="B16" i="89"/>
  <c r="E11" i="89"/>
  <c r="B10" i="89"/>
  <c r="B9" i="89"/>
  <c r="B8" i="89"/>
  <c r="B7" i="89"/>
  <c r="B5" i="89"/>
  <c r="B6" i="89" s="1"/>
  <c r="B3" i="89"/>
  <c r="B7" i="88"/>
  <c r="E11" i="88"/>
  <c r="B9" i="87"/>
  <c r="B3" i="87"/>
  <c r="B22" i="88"/>
  <c r="B21" i="88"/>
  <c r="B16" i="88"/>
  <c r="B10" i="88"/>
  <c r="B9" i="88"/>
  <c r="B8" i="88"/>
  <c r="B5" i="88"/>
  <c r="B6" i="88" s="1"/>
  <c r="B3" i="88"/>
  <c r="B14" i="87"/>
  <c r="B16" i="87" s="1"/>
  <c r="B22" i="87"/>
  <c r="B21" i="87"/>
  <c r="B24" i="87" s="1"/>
  <c r="E11" i="87"/>
  <c r="B10" i="87"/>
  <c r="B8" i="87"/>
  <c r="B7" i="87"/>
  <c r="B5" i="87"/>
  <c r="B6" i="87" s="1"/>
  <c r="B22" i="85"/>
  <c r="B21" i="85"/>
  <c r="B24" i="85"/>
  <c r="B14" i="85"/>
  <c r="B16" i="85"/>
  <c r="E11" i="85"/>
  <c r="B10" i="85"/>
  <c r="B9" i="85"/>
  <c r="B8" i="85"/>
  <c r="B7" i="85"/>
  <c r="B5" i="85"/>
  <c r="B6" i="85" s="1"/>
  <c r="B3" i="85"/>
  <c r="B3" i="84"/>
  <c r="E11" i="84"/>
  <c r="D6" i="76"/>
  <c r="D7" i="76"/>
  <c r="B22" i="84"/>
  <c r="B21" i="84"/>
  <c r="B24" i="84"/>
  <c r="B14" i="84"/>
  <c r="B16" i="84"/>
  <c r="B10" i="84"/>
  <c r="B9" i="84"/>
  <c r="B8" i="84"/>
  <c r="B7" i="84"/>
  <c r="B5" i="84"/>
  <c r="B6" i="84" s="1"/>
  <c r="B22" i="83"/>
  <c r="B21" i="83"/>
  <c r="B24" i="83"/>
  <c r="B14" i="83"/>
  <c r="B15" i="83"/>
  <c r="B16" i="83"/>
  <c r="E11" i="83"/>
  <c r="B10" i="83"/>
  <c r="B9" i="83"/>
  <c r="B8" i="83"/>
  <c r="B7" i="83"/>
  <c r="B5" i="83"/>
  <c r="B6" i="83"/>
  <c r="B3" i="83"/>
  <c r="B22" i="82"/>
  <c r="B21" i="82"/>
  <c r="B24" i="82"/>
  <c r="B14" i="82"/>
  <c r="B16" i="82"/>
  <c r="E11" i="82"/>
  <c r="B10" i="82"/>
  <c r="B9" i="82"/>
  <c r="B8" i="82"/>
  <c r="B7" i="82"/>
  <c r="B5" i="82"/>
  <c r="B6" i="82"/>
  <c r="B3" i="82"/>
  <c r="E11" i="81"/>
  <c r="E11" i="80"/>
  <c r="B14" i="81"/>
  <c r="B15" i="81"/>
  <c r="B3" i="81"/>
  <c r="B5" i="81"/>
  <c r="B6" i="81"/>
  <c r="B7" i="81"/>
  <c r="B8" i="81"/>
  <c r="B9" i="81"/>
  <c r="B10" i="81"/>
  <c r="B21" i="81"/>
  <c r="B22" i="81"/>
  <c r="B24" i="81"/>
  <c r="B22" i="80"/>
  <c r="B21" i="80"/>
  <c r="B24" i="80"/>
  <c r="B14" i="80"/>
  <c r="B16" i="80"/>
  <c r="B10" i="80"/>
  <c r="B9" i="80"/>
  <c r="B8" i="80"/>
  <c r="B7" i="80"/>
  <c r="B5" i="80"/>
  <c r="B6" i="80"/>
  <c r="B3" i="80"/>
  <c r="B8" i="79"/>
  <c r="B14" i="79"/>
  <c r="B15" i="79"/>
  <c r="B10" i="79"/>
  <c r="B9" i="79"/>
  <c r="B7" i="79"/>
  <c r="B3" i="79"/>
  <c r="B5" i="79"/>
  <c r="B6" i="79"/>
  <c r="B22" i="79"/>
  <c r="B21" i="79"/>
  <c r="B24" i="79"/>
  <c r="E11" i="79"/>
  <c r="E11" i="78"/>
  <c r="B9" i="78"/>
  <c r="B8" i="78"/>
  <c r="B7" i="78"/>
  <c r="B10" i="78"/>
  <c r="B29" i="77"/>
  <c r="B22" i="78"/>
  <c r="B21" i="78"/>
  <c r="B16" i="78"/>
  <c r="B5" i="78"/>
  <c r="B6" i="78"/>
  <c r="B3" i="78"/>
  <c r="B5" i="74"/>
  <c r="B6" i="74"/>
  <c r="B22" i="77"/>
  <c r="B21" i="77"/>
  <c r="B16" i="77"/>
  <c r="E10" i="77"/>
  <c r="B9" i="77"/>
  <c r="B8" i="77"/>
  <c r="B7" i="77"/>
  <c r="B5" i="77"/>
  <c r="B6" i="77"/>
  <c r="B3" i="77"/>
  <c r="B9" i="74"/>
  <c r="B8" i="74"/>
  <c r="B7" i="74"/>
  <c r="D8" i="76"/>
  <c r="D4" i="76"/>
  <c r="J2" i="75"/>
  <c r="J3" i="75"/>
  <c r="J4" i="75"/>
  <c r="J5" i="75"/>
  <c r="J6" i="75"/>
  <c r="J7" i="75"/>
  <c r="J8" i="75"/>
  <c r="J9" i="75"/>
  <c r="J10" i="75"/>
  <c r="J11" i="75"/>
  <c r="J12" i="75"/>
  <c r="J13" i="75"/>
  <c r="J14" i="75"/>
  <c r="J15" i="75"/>
  <c r="J16" i="75"/>
  <c r="J17" i="75"/>
  <c r="J18" i="75"/>
  <c r="J19" i="75"/>
  <c r="J20" i="75"/>
  <c r="J21" i="75"/>
  <c r="J22" i="75"/>
  <c r="J23" i="75"/>
  <c r="J24" i="75"/>
  <c r="J25" i="75"/>
  <c r="J2" i="63"/>
  <c r="J3" i="63"/>
  <c r="J4" i="63"/>
  <c r="J5" i="63"/>
  <c r="J6" i="63"/>
  <c r="J7" i="63"/>
  <c r="J8" i="63"/>
  <c r="J9" i="63"/>
  <c r="J10" i="63"/>
  <c r="J11" i="63"/>
  <c r="J12" i="63"/>
  <c r="J13" i="63"/>
  <c r="J14" i="63"/>
  <c r="J15" i="63"/>
  <c r="J16" i="63"/>
  <c r="J17" i="63"/>
  <c r="J18" i="63"/>
  <c r="J19" i="63"/>
  <c r="J20" i="63"/>
  <c r="J21" i="63"/>
  <c r="J22" i="63"/>
  <c r="J23" i="63"/>
  <c r="J24" i="63"/>
  <c r="J25" i="63"/>
  <c r="J26" i="63"/>
  <c r="J27" i="63"/>
  <c r="J28" i="63"/>
  <c r="J29" i="63"/>
  <c r="J30" i="63"/>
  <c r="J31" i="63"/>
  <c r="J32" i="63"/>
  <c r="J33" i="63"/>
  <c r="J34" i="63"/>
  <c r="J35" i="63"/>
  <c r="J36" i="63"/>
  <c r="J37" i="63"/>
  <c r="J38" i="63"/>
  <c r="J39" i="63"/>
  <c r="J40" i="63"/>
  <c r="J41" i="63"/>
  <c r="J42" i="63"/>
  <c r="J43" i="63"/>
  <c r="J44" i="63"/>
  <c r="J45" i="63"/>
  <c r="J46" i="63"/>
  <c r="J47" i="63"/>
  <c r="J48" i="63"/>
  <c r="J49" i="63"/>
  <c r="J50" i="63"/>
  <c r="J51" i="63"/>
  <c r="J52" i="63"/>
  <c r="J53" i="63"/>
  <c r="J54" i="63"/>
  <c r="J55" i="63"/>
  <c r="J56" i="63"/>
  <c r="J57" i="63"/>
  <c r="J58" i="63"/>
  <c r="J59" i="63"/>
  <c r="J60" i="63"/>
  <c r="J61" i="63"/>
  <c r="J62" i="63"/>
  <c r="J63" i="63"/>
  <c r="J64" i="63"/>
  <c r="J65" i="63"/>
  <c r="J66" i="63"/>
  <c r="J67" i="63"/>
  <c r="J68" i="63"/>
  <c r="J69" i="63"/>
  <c r="J70" i="63"/>
  <c r="J71" i="63"/>
  <c r="J72" i="63"/>
  <c r="J73" i="63"/>
  <c r="J74" i="63"/>
  <c r="J75" i="63"/>
  <c r="J76" i="63"/>
  <c r="J77" i="63"/>
  <c r="J78" i="63"/>
  <c r="J79" i="63"/>
  <c r="J80" i="63"/>
  <c r="J81" i="63"/>
  <c r="J82" i="63"/>
  <c r="J83" i="63"/>
  <c r="J84" i="63"/>
  <c r="J85" i="63"/>
  <c r="J86" i="63"/>
  <c r="J87" i="63"/>
  <c r="J88" i="63"/>
  <c r="J89" i="63"/>
  <c r="J90" i="63"/>
  <c r="J91" i="63"/>
  <c r="J92" i="63"/>
  <c r="J93" i="63"/>
  <c r="J94" i="63"/>
  <c r="J95" i="63"/>
  <c r="J96" i="63"/>
  <c r="J97" i="63"/>
  <c r="J98" i="63"/>
  <c r="J99" i="63"/>
  <c r="J100" i="63"/>
  <c r="J101" i="63"/>
  <c r="J102" i="63"/>
  <c r="J103" i="63"/>
  <c r="J104" i="63"/>
  <c r="J105" i="63"/>
  <c r="J106" i="63"/>
  <c r="J107" i="63"/>
  <c r="J108" i="63"/>
  <c r="J109" i="63"/>
  <c r="J110" i="63"/>
  <c r="J111" i="63"/>
  <c r="J112" i="63"/>
  <c r="J113" i="63"/>
  <c r="J114" i="63"/>
  <c r="J115" i="63"/>
  <c r="J116" i="63"/>
  <c r="J117" i="63"/>
  <c r="J118" i="63"/>
  <c r="J119" i="63"/>
  <c r="J120" i="63"/>
  <c r="J121" i="63"/>
  <c r="J122" i="63"/>
  <c r="J123" i="63"/>
  <c r="F2" i="75"/>
  <c r="G2" i="75"/>
  <c r="F3" i="75"/>
  <c r="G3" i="75"/>
  <c r="F4" i="75"/>
  <c r="G4" i="75"/>
  <c r="F5" i="75"/>
  <c r="G5" i="75"/>
  <c r="F6" i="75"/>
  <c r="G6" i="75"/>
  <c r="F7" i="75"/>
  <c r="G7" i="75"/>
  <c r="F8" i="75"/>
  <c r="G8" i="75"/>
  <c r="F9" i="75"/>
  <c r="G9" i="75"/>
  <c r="F10" i="75"/>
  <c r="G10" i="75"/>
  <c r="F11" i="75"/>
  <c r="G11" i="75"/>
  <c r="F12" i="75"/>
  <c r="G12" i="75"/>
  <c r="F13" i="75"/>
  <c r="G13" i="75"/>
  <c r="F14" i="75"/>
  <c r="G14" i="75"/>
  <c r="F15" i="75"/>
  <c r="G15" i="75"/>
  <c r="F16" i="75"/>
  <c r="G16" i="75"/>
  <c r="F17" i="75"/>
  <c r="G17" i="75"/>
  <c r="F18" i="75"/>
  <c r="G18" i="75"/>
  <c r="F19" i="75"/>
  <c r="G19" i="75"/>
  <c r="F20" i="75"/>
  <c r="G20" i="75"/>
  <c r="F21" i="75"/>
  <c r="G21" i="75"/>
  <c r="F22" i="75"/>
  <c r="G22" i="75"/>
  <c r="F23" i="75"/>
  <c r="G23" i="75"/>
  <c r="F24" i="75"/>
  <c r="G24" i="75"/>
  <c r="F25" i="75"/>
  <c r="G25" i="75"/>
  <c r="L27" i="75"/>
  <c r="K27" i="75"/>
  <c r="I27" i="75"/>
  <c r="E27" i="75"/>
  <c r="D27" i="75"/>
  <c r="C27" i="75"/>
  <c r="B22" i="74"/>
  <c r="B21" i="74"/>
  <c r="B16" i="74"/>
  <c r="E10" i="74"/>
  <c r="B3" i="74"/>
  <c r="D35" i="73"/>
  <c r="B32" i="73"/>
  <c r="B35" i="73"/>
  <c r="B31" i="73"/>
  <c r="B34" i="73"/>
  <c r="B26" i="73"/>
  <c r="B24" i="73"/>
  <c r="B22" i="73"/>
  <c r="B21" i="73"/>
  <c r="B16" i="73"/>
  <c r="E10" i="73"/>
  <c r="B7" i="73"/>
  <c r="B5" i="73"/>
  <c r="B6" i="73"/>
  <c r="B3" i="73"/>
  <c r="D35" i="72"/>
  <c r="B32" i="72"/>
  <c r="B35" i="72"/>
  <c r="B31" i="72"/>
  <c r="B34" i="72"/>
  <c r="B24" i="72"/>
  <c r="B26" i="72"/>
  <c r="B22" i="72"/>
  <c r="B21" i="72"/>
  <c r="B16" i="72"/>
  <c r="E10" i="72"/>
  <c r="B7" i="72"/>
  <c r="B5" i="72"/>
  <c r="B6" i="72"/>
  <c r="B3" i="72"/>
  <c r="D35" i="71"/>
  <c r="B32" i="71"/>
  <c r="B35" i="71"/>
  <c r="B31" i="71"/>
  <c r="B22" i="71"/>
  <c r="B21" i="71"/>
  <c r="B16" i="71"/>
  <c r="E10" i="71"/>
  <c r="B7" i="71"/>
  <c r="B5" i="71"/>
  <c r="B6" i="71"/>
  <c r="B3" i="71"/>
  <c r="E29" i="78"/>
  <c r="B24" i="78"/>
  <c r="B24" i="77"/>
  <c r="B24" i="74"/>
  <c r="G27" i="75"/>
  <c r="J27" i="75"/>
  <c r="F27" i="75"/>
  <c r="B24" i="71"/>
  <c r="B26" i="71"/>
  <c r="B34" i="71"/>
  <c r="D35" i="69"/>
  <c r="B32" i="69"/>
  <c r="B31" i="69"/>
  <c r="B22" i="69"/>
  <c r="B21" i="69"/>
  <c r="B16" i="69"/>
  <c r="E10" i="69"/>
  <c r="B7" i="69"/>
  <c r="B5" i="69"/>
  <c r="B6" i="69"/>
  <c r="B3" i="69"/>
  <c r="D35" i="68"/>
  <c r="B32" i="68"/>
  <c r="B31" i="68"/>
  <c r="B22" i="68"/>
  <c r="B21" i="68"/>
  <c r="B16" i="68"/>
  <c r="E10" i="68"/>
  <c r="B7" i="68"/>
  <c r="B5" i="68"/>
  <c r="B6" i="68"/>
  <c r="B34" i="69"/>
  <c r="B35" i="68"/>
  <c r="B24" i="68"/>
  <c r="B26" i="68"/>
  <c r="B34" i="68"/>
  <c r="B24" i="69"/>
  <c r="B26" i="69"/>
  <c r="B35" i="69"/>
  <c r="D35" i="67"/>
  <c r="B32" i="67"/>
  <c r="B31" i="67"/>
  <c r="B22" i="67"/>
  <c r="B21" i="67"/>
  <c r="B16" i="67"/>
  <c r="E10" i="67"/>
  <c r="B7" i="67"/>
  <c r="B5" i="67"/>
  <c r="B6" i="67"/>
  <c r="B3" i="67"/>
  <c r="I148" i="63"/>
  <c r="I149" i="63"/>
  <c r="D35" i="66"/>
  <c r="B32" i="66"/>
  <c r="B31" i="66"/>
  <c r="B22" i="66"/>
  <c r="B21" i="66"/>
  <c r="B24" i="66"/>
  <c r="B26" i="66"/>
  <c r="B16" i="66"/>
  <c r="E10" i="66"/>
  <c r="B7" i="66"/>
  <c r="B5" i="66"/>
  <c r="B6" i="66"/>
  <c r="B3" i="66"/>
  <c r="B16" i="47"/>
  <c r="D125" i="63"/>
  <c r="F110" i="63"/>
  <c r="G110" i="63"/>
  <c r="F111" i="63"/>
  <c r="G111" i="63"/>
  <c r="F112" i="63"/>
  <c r="G112" i="63"/>
  <c r="F113" i="63"/>
  <c r="G113" i="63"/>
  <c r="F114" i="63"/>
  <c r="G114" i="63"/>
  <c r="F115" i="63"/>
  <c r="G115" i="63"/>
  <c r="F116" i="63"/>
  <c r="G116" i="63"/>
  <c r="F117" i="63"/>
  <c r="G117" i="63"/>
  <c r="F118" i="63"/>
  <c r="G118" i="63"/>
  <c r="F119" i="63"/>
  <c r="G119" i="63"/>
  <c r="F120" i="63"/>
  <c r="G120" i="63"/>
  <c r="F121" i="63"/>
  <c r="G121" i="63"/>
  <c r="F122" i="63"/>
  <c r="G122" i="63"/>
  <c r="F107" i="63"/>
  <c r="G107" i="63"/>
  <c r="F108" i="63"/>
  <c r="G108" i="63"/>
  <c r="D35" i="65"/>
  <c r="B32" i="65"/>
  <c r="B31" i="65"/>
  <c r="B22" i="65"/>
  <c r="B21" i="65"/>
  <c r="B16" i="65"/>
  <c r="E10" i="65"/>
  <c r="B7" i="65"/>
  <c r="B5" i="65"/>
  <c r="B6" i="65"/>
  <c r="B3" i="65"/>
  <c r="F95" i="63"/>
  <c r="O100" i="63"/>
  <c r="K125" i="63"/>
  <c r="G93" i="63"/>
  <c r="F89" i="63"/>
  <c r="F90" i="63"/>
  <c r="G6" i="63"/>
  <c r="G7" i="63"/>
  <c r="G8" i="63"/>
  <c r="G9" i="63"/>
  <c r="G10" i="63"/>
  <c r="G11" i="63"/>
  <c r="G12" i="63"/>
  <c r="G13" i="63"/>
  <c r="G14" i="63"/>
  <c r="G15" i="63"/>
  <c r="G16" i="63"/>
  <c r="G17" i="63"/>
  <c r="G19" i="63"/>
  <c r="G18" i="63"/>
  <c r="G20" i="63"/>
  <c r="G21" i="63"/>
  <c r="G22" i="63"/>
  <c r="G23" i="63"/>
  <c r="G24" i="63"/>
  <c r="G25" i="63"/>
  <c r="G26" i="63"/>
  <c r="G27" i="63"/>
  <c r="G28" i="63"/>
  <c r="G29" i="63"/>
  <c r="G30" i="63"/>
  <c r="G31" i="63"/>
  <c r="G32" i="63"/>
  <c r="G33" i="63"/>
  <c r="G34" i="63"/>
  <c r="G35" i="63"/>
  <c r="G36" i="63"/>
  <c r="G37" i="63"/>
  <c r="G38" i="63"/>
  <c r="G39" i="63"/>
  <c r="G40" i="63"/>
  <c r="G41" i="63"/>
  <c r="G42" i="63"/>
  <c r="G43" i="63"/>
  <c r="G44" i="63"/>
  <c r="G45" i="63"/>
  <c r="G46" i="63"/>
  <c r="G47" i="63"/>
  <c r="G48" i="63"/>
  <c r="G49" i="63"/>
  <c r="G50" i="63"/>
  <c r="G51" i="63"/>
  <c r="G52" i="63"/>
  <c r="G53" i="63"/>
  <c r="G54" i="63"/>
  <c r="G55" i="63"/>
  <c r="G56" i="63"/>
  <c r="G57" i="63"/>
  <c r="G58" i="63"/>
  <c r="G59" i="63"/>
  <c r="G60" i="63"/>
  <c r="G61" i="63"/>
  <c r="G62" i="63"/>
  <c r="G63" i="63"/>
  <c r="G64" i="63"/>
  <c r="G65" i="63"/>
  <c r="G66" i="63"/>
  <c r="G67" i="63"/>
  <c r="G68" i="63"/>
  <c r="G69" i="63"/>
  <c r="G70" i="63"/>
  <c r="G71" i="63"/>
  <c r="G72" i="63"/>
  <c r="G73" i="63"/>
  <c r="G74" i="63"/>
  <c r="G76" i="63"/>
  <c r="G78" i="63"/>
  <c r="G75" i="63"/>
  <c r="G77" i="63"/>
  <c r="G79" i="63"/>
  <c r="G80" i="63"/>
  <c r="G81" i="63"/>
  <c r="G82" i="63"/>
  <c r="G84" i="63"/>
  <c r="G83" i="63"/>
  <c r="G85" i="63"/>
  <c r="G92" i="63"/>
  <c r="G87" i="63"/>
  <c r="G90" i="63"/>
  <c r="G88" i="63"/>
  <c r="G95" i="63"/>
  <c r="G91" i="63"/>
  <c r="G89" i="63"/>
  <c r="G86" i="63"/>
  <c r="G94" i="63"/>
  <c r="G96" i="63"/>
  <c r="G98" i="63"/>
  <c r="G97" i="63"/>
  <c r="G99" i="63"/>
  <c r="G100" i="63"/>
  <c r="G101" i="63"/>
  <c r="G102" i="63"/>
  <c r="G103" i="63"/>
  <c r="G105" i="63"/>
  <c r="G104" i="63"/>
  <c r="G106" i="63"/>
  <c r="G109" i="63"/>
  <c r="G123" i="63"/>
  <c r="G5" i="63"/>
  <c r="F94" i="63"/>
  <c r="F96" i="63"/>
  <c r="F98" i="63"/>
  <c r="F97" i="63"/>
  <c r="F99" i="63"/>
  <c r="F100" i="63"/>
  <c r="F101" i="63"/>
  <c r="F102" i="63"/>
  <c r="F103" i="63"/>
  <c r="F105" i="63"/>
  <c r="F2" i="63"/>
  <c r="F3" i="63"/>
  <c r="F4" i="63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9" i="63"/>
  <c r="F18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4" i="63"/>
  <c r="F76" i="63"/>
  <c r="F78" i="63"/>
  <c r="F75" i="63"/>
  <c r="F77" i="63"/>
  <c r="F79" i="63"/>
  <c r="F80" i="63"/>
  <c r="F81" i="63"/>
  <c r="F82" i="63"/>
  <c r="F84" i="63"/>
  <c r="F83" i="63"/>
  <c r="F85" i="63"/>
  <c r="F92" i="63"/>
  <c r="F87" i="63"/>
  <c r="F88" i="63"/>
  <c r="F93" i="63"/>
  <c r="F91" i="63"/>
  <c r="F86" i="63"/>
  <c r="F104" i="63"/>
  <c r="F106" i="63"/>
  <c r="F109" i="63"/>
  <c r="F123" i="63"/>
  <c r="G3" i="63"/>
  <c r="G4" i="63"/>
  <c r="G2" i="63"/>
  <c r="I125" i="63"/>
  <c r="E125" i="63"/>
  <c r="E136" i="63"/>
  <c r="C125" i="63"/>
  <c r="P27" i="63"/>
  <c r="B5" i="64"/>
  <c r="B6" i="64"/>
  <c r="D35" i="64"/>
  <c r="B32" i="64"/>
  <c r="B31" i="64"/>
  <c r="B22" i="64"/>
  <c r="B21" i="64"/>
  <c r="B16" i="64"/>
  <c r="E10" i="64"/>
  <c r="B7" i="64"/>
  <c r="B3" i="64"/>
  <c r="B11" i="59"/>
  <c r="E10" i="59"/>
  <c r="D35" i="60"/>
  <c r="B32" i="60"/>
  <c r="B31" i="60"/>
  <c r="B22" i="60"/>
  <c r="B21" i="60"/>
  <c r="B16" i="60"/>
  <c r="E10" i="60"/>
  <c r="B7" i="60"/>
  <c r="B5" i="60"/>
  <c r="B6" i="60"/>
  <c r="B3" i="60"/>
  <c r="D35" i="59"/>
  <c r="B32" i="59"/>
  <c r="B31" i="59"/>
  <c r="B22" i="59"/>
  <c r="B21" i="59"/>
  <c r="B16" i="59"/>
  <c r="B5" i="59"/>
  <c r="B6" i="59"/>
  <c r="B3" i="59"/>
  <c r="B32" i="57"/>
  <c r="E10" i="58"/>
  <c r="B7" i="58"/>
  <c r="B5" i="58"/>
  <c r="B6" i="58"/>
  <c r="B3" i="58"/>
  <c r="B31" i="57"/>
  <c r="B22" i="57"/>
  <c r="B21" i="57"/>
  <c r="B16" i="57"/>
  <c r="E10" i="57"/>
  <c r="B7" i="57"/>
  <c r="B5" i="57"/>
  <c r="B6" i="57"/>
  <c r="B3" i="57"/>
  <c r="E10" i="56"/>
  <c r="B16" i="56"/>
  <c r="B22" i="56"/>
  <c r="B21" i="56"/>
  <c r="B7" i="56"/>
  <c r="B5" i="56"/>
  <c r="B6" i="56"/>
  <c r="B3" i="56"/>
  <c r="D22" i="53"/>
  <c r="B21" i="54"/>
  <c r="B22" i="54"/>
  <c r="B24" i="54"/>
  <c r="B26" i="54"/>
  <c r="E10" i="54"/>
  <c r="B7" i="54"/>
  <c r="B5" i="54"/>
  <c r="B6" i="54"/>
  <c r="B3" i="54"/>
  <c r="D23" i="53"/>
  <c r="G11" i="53"/>
  <c r="D8" i="53"/>
  <c r="D6" i="53"/>
  <c r="D7" i="53"/>
  <c r="D4" i="53"/>
  <c r="D23" i="52"/>
  <c r="D22" i="52"/>
  <c r="G11" i="52"/>
  <c r="D8" i="52"/>
  <c r="D6" i="52"/>
  <c r="D7" i="52"/>
  <c r="D4" i="52"/>
  <c r="D6" i="51"/>
  <c r="D7" i="51"/>
  <c r="G11" i="51"/>
  <c r="D23" i="51"/>
  <c r="D22" i="51"/>
  <c r="D8" i="51"/>
  <c r="D4" i="51"/>
  <c r="G11" i="48"/>
  <c r="D23" i="49"/>
  <c r="D22" i="49"/>
  <c r="G11" i="49"/>
  <c r="D8" i="49"/>
  <c r="D6" i="49"/>
  <c r="D7" i="49"/>
  <c r="D4" i="49"/>
  <c r="D6" i="48"/>
  <c r="D7" i="48"/>
  <c r="D23" i="48"/>
  <c r="D22" i="48"/>
  <c r="D8" i="48"/>
  <c r="D4" i="48"/>
  <c r="C6" i="46"/>
  <c r="C7" i="46"/>
  <c r="C30" i="46"/>
  <c r="C31" i="46"/>
  <c r="C32" i="46"/>
  <c r="C23" i="46"/>
  <c r="C22" i="46"/>
  <c r="F11" i="46"/>
  <c r="C11" i="46"/>
  <c r="C8" i="46"/>
  <c r="C4" i="46"/>
  <c r="D6" i="45"/>
  <c r="D7" i="45"/>
  <c r="D30" i="45"/>
  <c r="D31" i="45"/>
  <c r="D32" i="45"/>
  <c r="D23" i="45"/>
  <c r="D22" i="45"/>
  <c r="G11" i="45"/>
  <c r="D11" i="45"/>
  <c r="D8" i="45"/>
  <c r="D4" i="45"/>
  <c r="D23" i="44"/>
  <c r="D30" i="44"/>
  <c r="D31" i="44"/>
  <c r="D32" i="44"/>
  <c r="D22" i="44"/>
  <c r="G11" i="44"/>
  <c r="D11" i="44"/>
  <c r="D8" i="44"/>
  <c r="D6" i="44"/>
  <c r="D7" i="44"/>
  <c r="D4" i="44"/>
  <c r="D26" i="43"/>
  <c r="D27" i="43"/>
  <c r="D28" i="43"/>
  <c r="D19" i="43"/>
  <c r="D18" i="43"/>
  <c r="G11" i="43"/>
  <c r="D11" i="43"/>
  <c r="D8" i="43"/>
  <c r="D6" i="43"/>
  <c r="D7" i="43"/>
  <c r="D4" i="43"/>
  <c r="D8" i="42"/>
  <c r="D6" i="42"/>
  <c r="D7" i="42"/>
  <c r="D4" i="42"/>
  <c r="D26" i="41"/>
  <c r="D27" i="41"/>
  <c r="D28" i="41"/>
  <c r="D19" i="41"/>
  <c r="D18" i="41"/>
  <c r="G11" i="41"/>
  <c r="D11" i="41"/>
  <c r="D8" i="41"/>
  <c r="D6" i="41"/>
  <c r="D7" i="41"/>
  <c r="D4" i="41"/>
  <c r="D11" i="40"/>
  <c r="D8" i="40"/>
  <c r="D26" i="40"/>
  <c r="D27" i="40"/>
  <c r="D28" i="40"/>
  <c r="D19" i="40"/>
  <c r="D18" i="40"/>
  <c r="G11" i="40"/>
  <c r="D6" i="40"/>
  <c r="D7" i="40"/>
  <c r="D4" i="40"/>
  <c r="D26" i="39"/>
  <c r="D27" i="39"/>
  <c r="D28" i="39"/>
  <c r="D19" i="39"/>
  <c r="D18" i="39"/>
  <c r="G11" i="39"/>
  <c r="D11" i="39"/>
  <c r="D8" i="39"/>
  <c r="D6" i="39"/>
  <c r="D7" i="39"/>
  <c r="D4" i="39"/>
  <c r="D6" i="38"/>
  <c r="D7" i="38"/>
  <c r="D19" i="38"/>
  <c r="D18" i="38"/>
  <c r="G11" i="38"/>
  <c r="D11" i="38"/>
  <c r="D8" i="38"/>
  <c r="D4" i="38"/>
  <c r="D33" i="37"/>
  <c r="G24" i="37"/>
  <c r="D19" i="37"/>
  <c r="D18" i="37"/>
  <c r="G11" i="37"/>
  <c r="D11" i="37"/>
  <c r="D8" i="37"/>
  <c r="D6" i="37"/>
  <c r="D7" i="37"/>
  <c r="D4" i="37"/>
  <c r="D33" i="36"/>
  <c r="G24" i="36"/>
  <c r="D19" i="36"/>
  <c r="D18" i="36"/>
  <c r="G11" i="36"/>
  <c r="D11" i="36"/>
  <c r="D8" i="36"/>
  <c r="D6" i="36"/>
  <c r="D7" i="36"/>
  <c r="D4" i="36"/>
  <c r="D11" i="35"/>
  <c r="D6" i="34"/>
  <c r="D7" i="34"/>
  <c r="D33" i="35"/>
  <c r="G24" i="35"/>
  <c r="D19" i="35"/>
  <c r="D18" i="35"/>
  <c r="G11" i="35"/>
  <c r="D8" i="35"/>
  <c r="D6" i="35"/>
  <c r="D7" i="35"/>
  <c r="D4" i="35"/>
  <c r="D33" i="34"/>
  <c r="G24" i="34"/>
  <c r="D19" i="34"/>
  <c r="D18" i="34"/>
  <c r="G11" i="34"/>
  <c r="D8" i="34"/>
  <c r="D4" i="34"/>
  <c r="D33" i="33"/>
  <c r="G24" i="33"/>
  <c r="D19" i="33"/>
  <c r="D18" i="33"/>
  <c r="G11" i="33"/>
  <c r="D8" i="33"/>
  <c r="D6" i="33"/>
  <c r="D7" i="33"/>
  <c r="D4" i="33"/>
  <c r="D33" i="30"/>
  <c r="G11" i="30"/>
  <c r="D12" i="29"/>
  <c r="D6" i="28"/>
  <c r="D7" i="28"/>
  <c r="D6" i="30"/>
  <c r="D7" i="30"/>
  <c r="G8" i="28"/>
  <c r="G24" i="30"/>
  <c r="D19" i="30"/>
  <c r="D18" i="30"/>
  <c r="D8" i="30"/>
  <c r="D4" i="30"/>
  <c r="G24" i="29"/>
  <c r="D19" i="29"/>
  <c r="D18" i="29"/>
  <c r="D8" i="29"/>
  <c r="G7" i="29"/>
  <c r="D6" i="29"/>
  <c r="D7" i="29"/>
  <c r="D4" i="29"/>
  <c r="G24" i="28"/>
  <c r="D19" i="28"/>
  <c r="D18" i="28"/>
  <c r="D8" i="28"/>
  <c r="D4" i="28"/>
  <c r="G24" i="27"/>
  <c r="D19" i="27"/>
  <c r="D18" i="27"/>
  <c r="D8" i="27"/>
  <c r="G7" i="27"/>
  <c r="D6" i="27"/>
  <c r="D7" i="27"/>
  <c r="D4" i="27"/>
  <c r="G24" i="26"/>
  <c r="D19" i="26"/>
  <c r="D18" i="26"/>
  <c r="G11" i="26"/>
  <c r="D10" i="26"/>
  <c r="G7" i="26"/>
  <c r="D6" i="26"/>
  <c r="D7" i="26"/>
  <c r="D4" i="26"/>
  <c r="G24" i="25"/>
  <c r="D19" i="25"/>
  <c r="D18" i="25"/>
  <c r="G11" i="25"/>
  <c r="D10" i="25"/>
  <c r="G7" i="25"/>
  <c r="D6" i="25"/>
  <c r="D7" i="25"/>
  <c r="D4" i="25"/>
  <c r="G24" i="24"/>
  <c r="D19" i="24"/>
  <c r="D18" i="24"/>
  <c r="G11" i="24"/>
  <c r="D10" i="24"/>
  <c r="G7" i="24"/>
  <c r="D6" i="24"/>
  <c r="D7" i="24"/>
  <c r="D4" i="24"/>
  <c r="G24" i="23"/>
  <c r="D19" i="23"/>
  <c r="D18" i="23"/>
  <c r="G11" i="23"/>
  <c r="D10" i="23"/>
  <c r="G7" i="23"/>
  <c r="D6" i="23"/>
  <c r="D7" i="23"/>
  <c r="D4" i="23"/>
  <c r="G11" i="22"/>
  <c r="D10" i="22"/>
  <c r="D6" i="22"/>
  <c r="D7" i="22"/>
  <c r="D19" i="22"/>
  <c r="D18" i="22"/>
  <c r="G24" i="22"/>
  <c r="G7" i="22"/>
  <c r="D4" i="22"/>
  <c r="D6" i="21"/>
  <c r="D7" i="21"/>
  <c r="G7" i="21"/>
  <c r="D4" i="21"/>
  <c r="G7" i="20"/>
  <c r="D6" i="20"/>
  <c r="D7" i="20"/>
  <c r="D4" i="20"/>
  <c r="D6" i="19"/>
  <c r="D7" i="19"/>
  <c r="G7" i="19"/>
  <c r="D4" i="19"/>
  <c r="G7" i="18"/>
  <c r="D6" i="18"/>
  <c r="D7" i="18"/>
  <c r="D4" i="18"/>
  <c r="G7" i="16"/>
  <c r="D6" i="16"/>
  <c r="D7" i="16"/>
  <c r="D4" i="16"/>
  <c r="G7" i="15"/>
  <c r="D6" i="15"/>
  <c r="D7" i="15"/>
  <c r="D4" i="15"/>
  <c r="G7" i="14"/>
  <c r="D6" i="14"/>
  <c r="D7" i="14"/>
  <c r="D4" i="14"/>
  <c r="G7" i="13"/>
  <c r="D6" i="13"/>
  <c r="D7" i="13"/>
  <c r="D4" i="13"/>
  <c r="C9" i="10"/>
  <c r="C8" i="10"/>
  <c r="C7" i="10"/>
  <c r="C6" i="10"/>
  <c r="C5" i="10"/>
  <c r="C4" i="10"/>
  <c r="C3" i="10"/>
  <c r="G7" i="12"/>
  <c r="D6" i="12"/>
  <c r="D7" i="12"/>
  <c r="D4" i="12"/>
  <c r="G8" i="9"/>
  <c r="C5" i="9"/>
  <c r="C6" i="9"/>
  <c r="C3" i="9"/>
  <c r="G8" i="8"/>
  <c r="C5" i="8"/>
  <c r="C6" i="8"/>
  <c r="C3" i="8"/>
  <c r="G8" i="7"/>
  <c r="C5" i="7"/>
  <c r="C6" i="7"/>
  <c r="C3" i="7"/>
  <c r="C3" i="6"/>
  <c r="C5" i="6"/>
  <c r="C6" i="6"/>
  <c r="G8" i="6"/>
  <c r="G8" i="5"/>
  <c r="C5" i="5"/>
  <c r="C6" i="5"/>
  <c r="C3" i="5"/>
  <c r="G7" i="1"/>
  <c r="D6" i="1"/>
  <c r="D7" i="1"/>
  <c r="D4" i="1"/>
  <c r="L125" i="63"/>
  <c r="D21" i="23"/>
  <c r="D25" i="48"/>
  <c r="B35" i="65"/>
  <c r="D21" i="30"/>
  <c r="D21" i="37"/>
  <c r="D21" i="39"/>
  <c r="B24" i="57"/>
  <c r="B26" i="57"/>
  <c r="B24" i="64"/>
  <c r="B26" i="64"/>
  <c r="B24" i="65"/>
  <c r="B26" i="65"/>
  <c r="D21" i="33"/>
  <c r="B35" i="57"/>
  <c r="B34" i="60"/>
  <c r="B34" i="65"/>
  <c r="D21" i="22"/>
  <c r="D21" i="34"/>
  <c r="C25" i="46"/>
  <c r="B35" i="59"/>
  <c r="D21" i="40"/>
  <c r="D21" i="24"/>
  <c r="D21" i="26"/>
  <c r="D25" i="52"/>
  <c r="B34" i="66"/>
  <c r="D21" i="41"/>
  <c r="B35" i="67"/>
  <c r="B34" i="57"/>
  <c r="B24" i="59"/>
  <c r="B26" i="59"/>
  <c r="D21" i="28"/>
  <c r="D21" i="29"/>
  <c r="D21" i="36"/>
  <c r="B34" i="59"/>
  <c r="D21" i="27"/>
  <c r="D21" i="38"/>
  <c r="B24" i="56"/>
  <c r="B26" i="56"/>
  <c r="B35" i="66"/>
  <c r="D25" i="49"/>
  <c r="B35" i="60"/>
  <c r="D21" i="35"/>
  <c r="D21" i="43"/>
  <c r="D25" i="44"/>
  <c r="D25" i="45"/>
  <c r="C15" i="10"/>
  <c r="D21" i="25"/>
  <c r="D25" i="51"/>
  <c r="D25" i="53"/>
  <c r="D27" i="53"/>
  <c r="B24" i="60"/>
  <c r="B26" i="60"/>
  <c r="B34" i="64"/>
  <c r="B35" i="64"/>
  <c r="B24" i="67"/>
  <c r="B26" i="67"/>
  <c r="B34" i="67"/>
  <c r="G125" i="63"/>
  <c r="F125" i="63"/>
  <c r="J125" i="63"/>
  <c r="B16" i="79"/>
  <c r="B16" i="81"/>
  <c r="B15" i="80"/>
  <c r="B15" i="82"/>
  <c r="B15" i="87"/>
  <c r="B15" i="85"/>
  <c r="B15" i="84"/>
  <c r="B17" i="96" l="1"/>
  <c r="B17" i="94"/>
  <c r="B17" i="93"/>
  <c r="B24" i="91"/>
  <c r="B24" i="90"/>
  <c r="B24" i="88"/>
</calcChain>
</file>

<file path=xl/sharedStrings.xml><?xml version="1.0" encoding="utf-8"?>
<sst xmlns="http://schemas.openxmlformats.org/spreadsheetml/2006/main" count="10366" uniqueCount="683">
  <si>
    <t>Money</t>
  </si>
  <si>
    <t>Savings Account</t>
  </si>
  <si>
    <t>Name</t>
  </si>
  <si>
    <t>Value</t>
  </si>
  <si>
    <t>Paid?</t>
  </si>
  <si>
    <t>Who</t>
  </si>
  <si>
    <t>Paid</t>
  </si>
  <si>
    <t>Mortgage</t>
  </si>
  <si>
    <t>no</t>
  </si>
  <si>
    <t>Taken Already</t>
  </si>
  <si>
    <t>Car</t>
  </si>
  <si>
    <t>f</t>
  </si>
  <si>
    <t>Balance</t>
  </si>
  <si>
    <t>train</t>
  </si>
  <si>
    <t>LifeInsurance/aviva</t>
  </si>
  <si>
    <t>To Be Taken</t>
  </si>
  <si>
    <t>francesca christmas</t>
  </si>
  <si>
    <t>HouseInsurance - Tesco</t>
  </si>
  <si>
    <t>Total</t>
  </si>
  <si>
    <t xml:space="preserve">  </t>
  </si>
  <si>
    <t>rumpus vet fund</t>
  </si>
  <si>
    <t>TvLicence</t>
  </si>
  <si>
    <t>Francesca</t>
  </si>
  <si>
    <t>EDF BUFFER</t>
  </si>
  <si>
    <t>Gas/Electric</t>
  </si>
  <si>
    <t>pet insur</t>
  </si>
  <si>
    <t>francesca cashback</t>
  </si>
  <si>
    <t>spotoify</t>
  </si>
  <si>
    <t>Saving Total</t>
  </si>
  <si>
    <t>loan</t>
  </si>
  <si>
    <t>netflix</t>
  </si>
  <si>
    <t>Botox</t>
  </si>
  <si>
    <t>plus net</t>
  </si>
  <si>
    <t>council tax</t>
  </si>
  <si>
    <t>water</t>
  </si>
  <si>
    <t>Main</t>
  </si>
  <si>
    <t>GARDEN</t>
  </si>
  <si>
    <t>Extra</t>
  </si>
  <si>
    <t>Total Due</t>
  </si>
  <si>
    <t>hp</t>
  </si>
  <si>
    <t>H2B paybak</t>
  </si>
  <si>
    <t>loan is 2600.00</t>
  </si>
  <si>
    <t>HSBC CC</t>
  </si>
  <si>
    <t>Sold Price</t>
  </si>
  <si>
    <t>Paid 1</t>
  </si>
  <si>
    <t>swimming</t>
  </si>
  <si>
    <t>Equity</t>
  </si>
  <si>
    <t>Tesco Mobile</t>
  </si>
  <si>
    <t>tesco card</t>
  </si>
  <si>
    <t>food petrol</t>
  </si>
  <si>
    <t>window cleaner</t>
  </si>
  <si>
    <t>4170 with oncall</t>
  </si>
  <si>
    <t>greenbelt</t>
  </si>
  <si>
    <t>3930.00 without</t>
  </si>
  <si>
    <t>next</t>
  </si>
  <si>
    <t>car insurance lv</t>
  </si>
  <si>
    <t>child benefit shit</t>
  </si>
  <si>
    <t>gym</t>
  </si>
  <si>
    <t>matts credit</t>
  </si>
  <si>
    <t>edf buffer</t>
  </si>
  <si>
    <t>savings</t>
  </si>
  <si>
    <t>service fund</t>
  </si>
  <si>
    <t>dental</t>
  </si>
  <si>
    <t>christmas</t>
  </si>
  <si>
    <t>rainy day</t>
  </si>
  <si>
    <t xml:space="preserve">garage isa </t>
  </si>
  <si>
    <t>meal</t>
  </si>
  <si>
    <t>expensis 224</t>
  </si>
  <si>
    <t>fran money for card</t>
  </si>
  <si>
    <t>WV6KZMV</t>
  </si>
  <si>
    <t>tesco mobiles</t>
  </si>
  <si>
    <t>Silverboots69!</t>
  </si>
  <si>
    <t>credit card hsbc</t>
  </si>
  <si>
    <t>JL092865B</t>
  </si>
  <si>
    <t>phone</t>
  </si>
  <si>
    <t>House Price</t>
  </si>
  <si>
    <t>Mortgage Amount</t>
  </si>
  <si>
    <t>Mortgage H2B Plan</t>
  </si>
  <si>
    <t>zoom</t>
  </si>
  <si>
    <t>boiler</t>
  </si>
  <si>
    <t>service</t>
  </si>
  <si>
    <t>-</t>
  </si>
  <si>
    <t>MATTS crdit card</t>
  </si>
  <si>
    <t>Valuation</t>
  </si>
  <si>
    <t>help to by</t>
  </si>
  <si>
    <t>health insurance</t>
  </si>
  <si>
    <t>birthday</t>
  </si>
  <si>
    <t>yes</t>
  </si>
  <si>
    <t>rescue me car</t>
  </si>
  <si>
    <t>medical</t>
  </si>
  <si>
    <t>bartley</t>
  </si>
  <si>
    <t>christmas food</t>
  </si>
  <si>
    <t>christmas holiday money</t>
  </si>
  <si>
    <t>mot and tyres</t>
  </si>
  <si>
    <t>corse money</t>
  </si>
  <si>
    <t>garage fund</t>
  </si>
  <si>
    <t>Matt Bday</t>
  </si>
  <si>
    <t>course</t>
  </si>
  <si>
    <t>london</t>
  </si>
  <si>
    <t>hoiliday</t>
  </si>
  <si>
    <t>isa savings</t>
  </si>
  <si>
    <t>car tax</t>
  </si>
  <si>
    <t>window cleanewr</t>
  </si>
  <si>
    <t>dentisyt</t>
  </si>
  <si>
    <t>holiday money</t>
  </si>
  <si>
    <t>Francesca Money</t>
  </si>
  <si>
    <t>Garage</t>
  </si>
  <si>
    <t>cat money</t>
  </si>
  <si>
    <t>PIXEL 7</t>
  </si>
  <si>
    <t>tesco</t>
  </si>
  <si>
    <t>hsbc Credit Card</t>
  </si>
  <si>
    <t>botox</t>
  </si>
  <si>
    <t>hyper jar</t>
  </si>
  <si>
    <t>summer holiday</t>
  </si>
  <si>
    <t>willow phone</t>
  </si>
  <si>
    <t>oven</t>
  </si>
  <si>
    <t>holiday</t>
  </si>
  <si>
    <t>NEXT</t>
  </si>
  <si>
    <t>dad bday</t>
  </si>
  <si>
    <t xml:space="preserve">house </t>
  </si>
  <si>
    <t>dentist</t>
  </si>
  <si>
    <t>tesco bank</t>
  </si>
  <si>
    <t>petrol</t>
  </si>
  <si>
    <t>ebay</t>
  </si>
  <si>
    <t>father day</t>
  </si>
  <si>
    <t>Fiber</t>
  </si>
  <si>
    <t>hotel</t>
  </si>
  <si>
    <t>cat</t>
  </si>
  <si>
    <t>amazon</t>
  </si>
  <si>
    <t>francesc london</t>
  </si>
  <si>
    <t>willow guitar</t>
  </si>
  <si>
    <t>train tickest</t>
  </si>
  <si>
    <t>camp</t>
  </si>
  <si>
    <t>willow bday</t>
  </si>
  <si>
    <t>plusnet mobile</t>
  </si>
  <si>
    <t>bug</t>
  </si>
  <si>
    <t>New House</t>
  </si>
  <si>
    <t>Mortgage Required</t>
  </si>
  <si>
    <t>mothers day</t>
  </si>
  <si>
    <t>beths noirday</t>
  </si>
  <si>
    <t>bike</t>
  </si>
  <si>
    <t>camo</t>
  </si>
  <si>
    <t>elec buffer</t>
  </si>
  <si>
    <t>wbday</t>
  </si>
  <si>
    <t>matt</t>
  </si>
  <si>
    <t>birthdays</t>
  </si>
  <si>
    <t>barcley</t>
  </si>
  <si>
    <t>Matt</t>
  </si>
  <si>
    <t>francesca</t>
  </si>
  <si>
    <t>willow birthday</t>
  </si>
  <si>
    <t>matt ebay money</t>
  </si>
  <si>
    <t>nye</t>
  </si>
  <si>
    <t>food for christmas</t>
  </si>
  <si>
    <t>mattxmas</t>
  </si>
  <si>
    <t>CHRISTMAS</t>
  </si>
  <si>
    <t>willow</t>
  </si>
  <si>
    <t>wage</t>
  </si>
  <si>
    <t>boier</t>
  </si>
  <si>
    <t>fran</t>
  </si>
  <si>
    <t>rumpus</t>
  </si>
  <si>
    <t>MATTS</t>
  </si>
  <si>
    <t>the ivy</t>
  </si>
  <si>
    <t>hayley</t>
  </si>
  <si>
    <t>matts birthday</t>
  </si>
  <si>
    <t>LONDON</t>
  </si>
  <si>
    <t>matt birthday</t>
  </si>
  <si>
    <t xml:space="preserve">on cal </t>
  </si>
  <si>
    <t>off call</t>
  </si>
  <si>
    <t>should have paid</t>
  </si>
  <si>
    <t>got paid after expence</t>
  </si>
  <si>
    <t>168 owed hmrc</t>
  </si>
  <si>
    <t>driving licence</t>
  </si>
  <si>
    <t>Loan Settlement (11/03/22)</t>
  </si>
  <si>
    <t>matts b</t>
  </si>
  <si>
    <t>fuel</t>
  </si>
  <si>
    <t>plusnet Mobile</t>
  </si>
  <si>
    <t>tax</t>
  </si>
  <si>
    <t>SAVONGS</t>
  </si>
  <si>
    <t>Loan</t>
  </si>
  <si>
    <t>19th april</t>
  </si>
  <si>
    <t>24yh</t>
  </si>
  <si>
    <t>wage kitty loan</t>
  </si>
  <si>
    <t>wage kitty</t>
  </si>
  <si>
    <t>unit</t>
  </si>
  <si>
    <t>mholiday</t>
  </si>
  <si>
    <t>dinner</t>
  </si>
  <si>
    <t>matts</t>
  </si>
  <si>
    <t>CHAMPNEYS</t>
  </si>
  <si>
    <t>toms bday</t>
  </si>
  <si>
    <t>fathers day</t>
  </si>
  <si>
    <t>EXPENSES</t>
  </si>
  <si>
    <t>Yes</t>
  </si>
  <si>
    <t>eric easter</t>
  </si>
  <si>
    <t>mum easter</t>
  </si>
  <si>
    <t>matts mum lego</t>
  </si>
  <si>
    <t>francesca meal</t>
  </si>
  <si>
    <t>swim</t>
  </si>
  <si>
    <t>fran bday</t>
  </si>
  <si>
    <t>wagamama</t>
  </si>
  <si>
    <t>Swimming</t>
  </si>
  <si>
    <t>francesca train</t>
  </si>
  <si>
    <t>willows birthday</t>
  </si>
  <si>
    <t>Savings</t>
  </si>
  <si>
    <t xml:space="preserve">mum and dad </t>
  </si>
  <si>
    <t>nana and eric</t>
  </si>
  <si>
    <t>ben  and lou</t>
  </si>
  <si>
    <t>food</t>
  </si>
  <si>
    <t>beth</t>
  </si>
  <si>
    <t>willows friend</t>
  </si>
  <si>
    <t xml:space="preserve">teacher </t>
  </si>
  <si>
    <t>Birthday</t>
  </si>
  <si>
    <t>berclay</t>
  </si>
  <si>
    <t>help top buy</t>
  </si>
  <si>
    <t>Date</t>
  </si>
  <si>
    <t>Item</t>
  </si>
  <si>
    <t>Money In</t>
  </si>
  <si>
    <t>Fee</t>
  </si>
  <si>
    <t>Postage</t>
  </si>
  <si>
    <t>Payout</t>
  </si>
  <si>
    <t>Link</t>
  </si>
  <si>
    <t>Postage Quoted</t>
  </si>
  <si>
    <t>Postage Profit</t>
  </si>
  <si>
    <t>Postage Paid</t>
  </si>
  <si>
    <t>Payed Out</t>
  </si>
  <si>
    <t>Column1</t>
  </si>
  <si>
    <t>Price</t>
  </si>
  <si>
    <t>Hobbs Coat</t>
  </si>
  <si>
    <t>Order details (ebay.co.uk)</t>
  </si>
  <si>
    <t>Y</t>
  </si>
  <si>
    <t>Durham Mug</t>
  </si>
  <si>
    <t>Webcam</t>
  </si>
  <si>
    <t>Tiny Tea Cup</t>
  </si>
  <si>
    <t>Football Shirt</t>
  </si>
  <si>
    <t>cats on rug</t>
  </si>
  <si>
    <t>Polka Dot Dress</t>
  </si>
  <si>
    <t>Trophy</t>
  </si>
  <si>
    <t>Highchar</t>
  </si>
  <si>
    <t>Rose Bee Mug</t>
  </si>
  <si>
    <t>Bose headphones</t>
  </si>
  <si>
    <t>Sampler Jug</t>
  </si>
  <si>
    <t>MK Coat</t>
  </si>
  <si>
    <t>Love all over mug</t>
  </si>
  <si>
    <t>JC Changing Bag</t>
  </si>
  <si>
    <t>sampler mug</t>
  </si>
  <si>
    <t>HB Sailor</t>
  </si>
  <si>
    <t>Dory Cuddlies</t>
  </si>
  <si>
    <t>hellabore</t>
  </si>
  <si>
    <t>HB Top</t>
  </si>
  <si>
    <t>bicester dot</t>
  </si>
  <si>
    <t>Armani Exchange top</t>
  </si>
  <si>
    <t>Rose Bee Porter</t>
  </si>
  <si>
    <t>MotoG</t>
  </si>
  <si>
    <t>Rose Bee Mustard</t>
  </si>
  <si>
    <t>Watch</t>
  </si>
  <si>
    <t>Rose Bee Ginger Beer</t>
  </si>
  <si>
    <t>PC</t>
  </si>
  <si>
    <t>Rose Bee Ink</t>
  </si>
  <si>
    <t>Mic</t>
  </si>
  <si>
    <t>Hearts Small Milk</t>
  </si>
  <si>
    <t>Slimming books</t>
  </si>
  <si>
    <t>Wallpaper Mustard</t>
  </si>
  <si>
    <t>Poweline</t>
  </si>
  <si>
    <t>Cat</t>
  </si>
  <si>
    <t>Basque</t>
  </si>
  <si>
    <t>Grobags</t>
  </si>
  <si>
    <t>Big Jug Words</t>
  </si>
  <si>
    <t>Grobag</t>
  </si>
  <si>
    <t>google</t>
  </si>
  <si>
    <t>R and B</t>
  </si>
  <si>
    <t>dvd</t>
  </si>
  <si>
    <t>Tablet</t>
  </si>
  <si>
    <t>arsenal</t>
  </si>
  <si>
    <t>bose wave</t>
  </si>
  <si>
    <t>bberry</t>
  </si>
  <si>
    <t>Surface</t>
  </si>
  <si>
    <t>fire 8</t>
  </si>
  <si>
    <t>fire 7</t>
  </si>
  <si>
    <t>Anker</t>
  </si>
  <si>
    <t>Beats</t>
  </si>
  <si>
    <t>nexus 4</t>
  </si>
  <si>
    <t>Huawei</t>
  </si>
  <si>
    <t>Surface dock</t>
  </si>
  <si>
    <t>Yealink</t>
  </si>
  <si>
    <t>Dune</t>
  </si>
  <si>
    <t>Whisky</t>
  </si>
  <si>
    <t>HB Pinup</t>
  </si>
  <si>
    <t>HB Green</t>
  </si>
  <si>
    <t>HB red</t>
  </si>
  <si>
    <t>HB Festive</t>
  </si>
  <si>
    <t>Rainbows</t>
  </si>
  <si>
    <t>n64</t>
  </si>
  <si>
    <t>Fluttershy</t>
  </si>
  <si>
    <t>Kindle</t>
  </si>
  <si>
    <t>Maxi Cosi</t>
  </si>
  <si>
    <t>Plantronics</t>
  </si>
  <si>
    <t>Sliders</t>
  </si>
  <si>
    <t>Bugaboo Liners and Muff</t>
  </si>
  <si>
    <t>Bugaboo Hood</t>
  </si>
  <si>
    <t>Moto G</t>
  </si>
  <si>
    <t>EB Plates</t>
  </si>
  <si>
    <t>Arsenal Shirt</t>
  </si>
  <si>
    <t>4 EB Plates</t>
  </si>
  <si>
    <t xml:space="preserve">Pip </t>
  </si>
  <si>
    <t>Bose Bar</t>
  </si>
  <si>
    <t>2 EB plates</t>
  </si>
  <si>
    <t>Bose Earbuds</t>
  </si>
  <si>
    <t>EB Fish head plate</t>
  </si>
  <si>
    <t>Xbox 360</t>
  </si>
  <si>
    <t>Bride Barbie</t>
  </si>
  <si>
    <t>Talk Barbie</t>
  </si>
  <si>
    <t>JC Coat</t>
  </si>
  <si>
    <t>Tosca Bag</t>
  </si>
  <si>
    <t>Swim Barbie</t>
  </si>
  <si>
    <t>SR Shoes</t>
  </si>
  <si>
    <t>SW Shoes</t>
  </si>
  <si>
    <t>Roof Box</t>
  </si>
  <si>
    <t>Moto G22</t>
  </si>
  <si>
    <t>RoofBars Yaris</t>
  </si>
  <si>
    <t>Ugg fur</t>
  </si>
  <si>
    <t>EB Catalogues</t>
  </si>
  <si>
    <t>MLP Tempest</t>
  </si>
  <si>
    <t>Ford Roof Bars</t>
  </si>
  <si>
    <t>Pram</t>
  </si>
  <si>
    <t>J6+</t>
  </si>
  <si>
    <t>Fire Stick 2</t>
  </si>
  <si>
    <t>Roku</t>
  </si>
  <si>
    <t>Blackberry</t>
  </si>
  <si>
    <t>Fire Stick 1</t>
  </si>
  <si>
    <t>Nexus 7</t>
  </si>
  <si>
    <t>Camera</t>
  </si>
  <si>
    <t>Kath Bag</t>
  </si>
  <si>
    <t>Beanies</t>
  </si>
  <si>
    <t>Painting</t>
  </si>
  <si>
    <t>Aspinal Bag</t>
  </si>
  <si>
    <t>Barbies</t>
  </si>
  <si>
    <t>Oneplus6</t>
  </si>
  <si>
    <t>NowTV stick</t>
  </si>
  <si>
    <t>NowTV Box</t>
  </si>
  <si>
    <t>Fitbit</t>
  </si>
  <si>
    <t>EB Jug</t>
  </si>
  <si>
    <t>Fire 8 HD yellow</t>
  </si>
  <si>
    <t>y</t>
  </si>
  <si>
    <t>Plug</t>
  </si>
  <si>
    <t>TOTAL</t>
  </si>
  <si>
    <t>?</t>
  </si>
  <si>
    <t>Current Hyper Jar Balance</t>
  </si>
  <si>
    <t>Door</t>
  </si>
  <si>
    <t>To be paid</t>
  </si>
  <si>
    <t>Wires</t>
  </si>
  <si>
    <t>Bits</t>
  </si>
  <si>
    <t>postage paid up to the 2nd august</t>
  </si>
  <si>
    <t>Electrics</t>
  </si>
  <si>
    <t>Materials</t>
  </si>
  <si>
    <t>David stuff</t>
  </si>
  <si>
    <t>Flooring</t>
  </si>
  <si>
    <t>Glue</t>
  </si>
  <si>
    <t>Paint</t>
  </si>
  <si>
    <t>N</t>
  </si>
  <si>
    <t>Slabs</t>
  </si>
  <si>
    <t>Total To be Paid</t>
  </si>
  <si>
    <t>Balance after</t>
  </si>
  <si>
    <t>natalie and tom</t>
  </si>
  <si>
    <t>total</t>
  </si>
  <si>
    <t>march</t>
  </si>
  <si>
    <t xml:space="preserve">my birthdat=y 40th </t>
  </si>
  <si>
    <t>april</t>
  </si>
  <si>
    <t>annerverary</t>
  </si>
  <si>
    <t>car service</t>
  </si>
  <si>
    <t>auguat</t>
  </si>
  <si>
    <t>dec</t>
  </si>
  <si>
    <t>matt christmas</t>
  </si>
  <si>
    <t>cash bak savings</t>
  </si>
  <si>
    <t>tyres</t>
  </si>
  <si>
    <t>60 in teapot</t>
  </si>
  <si>
    <t>rumpus vet do not touch</t>
  </si>
  <si>
    <t>YES</t>
  </si>
  <si>
    <t>willow swim</t>
  </si>
  <si>
    <t>money for next month pay</t>
  </si>
  <si>
    <t>francescas cash back</t>
  </si>
  <si>
    <t>tesco bank patio</t>
  </si>
  <si>
    <t>Service</t>
  </si>
  <si>
    <t>Anniversary</t>
  </si>
  <si>
    <t>window</t>
  </si>
  <si>
    <t>willow bedroom</t>
  </si>
  <si>
    <t>car</t>
  </si>
  <si>
    <t>tax money</t>
  </si>
  <si>
    <t>nationaltrust</t>
  </si>
  <si>
    <t>disney</t>
  </si>
  <si>
    <t>going out</t>
  </si>
  <si>
    <t>tom</t>
  </si>
  <si>
    <t>cash back</t>
  </si>
  <si>
    <t>in saving</t>
  </si>
  <si>
    <t>73.00 in my sav</t>
  </si>
  <si>
    <t>Old Money</t>
  </si>
  <si>
    <t>Train</t>
  </si>
  <si>
    <t>NewMoney(noPens)</t>
  </si>
  <si>
    <t>Year</t>
  </si>
  <si>
    <t>week</t>
  </si>
  <si>
    <t>day</t>
  </si>
  <si>
    <t>denplan</t>
  </si>
  <si>
    <t>green bel</t>
  </si>
  <si>
    <t>slimming world</t>
  </si>
  <si>
    <t xml:space="preserve">hi </t>
  </si>
  <si>
    <t>tesco bank (car)</t>
  </si>
  <si>
    <t>green belt</t>
  </si>
  <si>
    <t>national</t>
  </si>
  <si>
    <t>now tv</t>
  </si>
  <si>
    <t>valentines</t>
  </si>
  <si>
    <t>Garmin</t>
  </si>
  <si>
    <t>I ou 84.00 botox</t>
  </si>
  <si>
    <t xml:space="preserve">gas </t>
  </si>
  <si>
    <t>slimming</t>
  </si>
  <si>
    <t>christmas money from matts mum</t>
  </si>
  <si>
    <t>matts xbox</t>
  </si>
  <si>
    <t>100 to go in from exiter</t>
  </si>
  <si>
    <t>xbox</t>
  </si>
  <si>
    <t xml:space="preserve">willow brownie </t>
  </si>
  <si>
    <t>XMAS</t>
  </si>
  <si>
    <t>pet insur aug</t>
  </si>
  <si>
    <t>annerver</t>
  </si>
  <si>
    <t>sdf</t>
  </si>
  <si>
    <t>dfsf</t>
  </si>
  <si>
    <t>slimmimg</t>
  </si>
  <si>
    <t>paint</t>
  </si>
  <si>
    <t>ToBeTaken</t>
  </si>
  <si>
    <t>Jan</t>
  </si>
  <si>
    <t>Feb</t>
  </si>
  <si>
    <t>Mar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</si>
  <si>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</si>
  <si>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</si>
  <si>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</si>
  <si>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</si>
  <si>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</si>
  <si>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</si>
  <si>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</si>
  <si>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</si>
  <si>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</si>
  <si>
    <t>willow shoes</t>
  </si>
  <si>
    <t>extiter</t>
  </si>
  <si>
    <t>savinmgs</t>
  </si>
  <si>
    <t>francesca birthday</t>
  </si>
  <si>
    <t>willow bday away</t>
  </si>
  <si>
    <t>fridge</t>
  </si>
  <si>
    <t>154.54 expe</t>
  </si>
  <si>
    <t>loan0</t>
  </si>
  <si>
    <t>matts bday</t>
  </si>
  <si>
    <t>Pay Calculator</t>
  </si>
  <si>
    <t>Frequency</t>
  </si>
  <si>
    <t>Amount</t>
  </si>
  <si>
    <t>biweekly</t>
  </si>
  <si>
    <t>4 weeks tues</t>
  </si>
  <si>
    <t>child</t>
  </si>
  <si>
    <t>4 weeks mon</t>
  </si>
  <si>
    <t>Water</t>
  </si>
  <si>
    <t>2nd August southern</t>
  </si>
  <si>
    <t>1ST APR</t>
  </si>
  <si>
    <t>`</t>
  </si>
  <si>
    <t>basic pay</t>
  </si>
  <si>
    <t>7 day</t>
  </si>
  <si>
    <t>bercley</t>
  </si>
  <si>
    <t>chair</t>
  </si>
  <si>
    <t>bonus</t>
  </si>
  <si>
    <t>Tesco</t>
  </si>
  <si>
    <t>rainbows</t>
  </si>
  <si>
    <t>sky sports</t>
  </si>
  <si>
    <t>botox do not touch</t>
  </si>
  <si>
    <t>christmas cashback</t>
  </si>
  <si>
    <t>NewMoney</t>
  </si>
  <si>
    <t xml:space="preserve">willow </t>
  </si>
  <si>
    <t>PLUMMER</t>
  </si>
  <si>
    <t>window clean</t>
  </si>
  <si>
    <t>rainy day fund</t>
  </si>
  <si>
    <t>0205UK11</t>
  </si>
  <si>
    <t>0205UK10</t>
  </si>
  <si>
    <t>fran birthday</t>
  </si>
  <si>
    <t>ct sitter</t>
  </si>
  <si>
    <t>francesca birhday</t>
  </si>
  <si>
    <t>holiday in august</t>
  </si>
  <si>
    <t>cat sitter AP+AUG</t>
  </si>
  <si>
    <t>DISHWASHER</t>
  </si>
  <si>
    <t>expenses for SWE</t>
  </si>
  <si>
    <t xml:space="preserve">check come in at 235 </t>
  </si>
  <si>
    <t>100 to willow</t>
  </si>
  <si>
    <t>165 TO FRAn</t>
  </si>
  <si>
    <t>holday fund</t>
  </si>
  <si>
    <t>insurance</t>
  </si>
  <si>
    <t>check</t>
  </si>
  <si>
    <t>coffee machine</t>
  </si>
  <si>
    <t>google speakers</t>
  </si>
  <si>
    <t>Headphones</t>
  </si>
  <si>
    <t>Nespresso</t>
  </si>
  <si>
    <t>Google Nest</t>
  </si>
  <si>
    <t>Powerline</t>
  </si>
  <si>
    <t>Smeg Coffee</t>
  </si>
  <si>
    <t>dishwasher</t>
  </si>
  <si>
    <t>uniform</t>
  </si>
  <si>
    <t>help to buy</t>
  </si>
  <si>
    <t>internet</t>
  </si>
  <si>
    <t>£9000 needed for e fund</t>
  </si>
  <si>
    <t>fran money</t>
  </si>
  <si>
    <t>Oneplus Charger</t>
  </si>
  <si>
    <t>Emergency Fund</t>
  </si>
  <si>
    <t>f1</t>
  </si>
  <si>
    <t>f2</t>
  </si>
  <si>
    <t>Francesca pt 1</t>
  </si>
  <si>
    <t>Francesca pt 2</t>
  </si>
  <si>
    <t>Car Fund</t>
  </si>
  <si>
    <t>264 on credit card to be made into cash</t>
  </si>
  <si>
    <t xml:space="preserve">75 +190 </t>
  </si>
  <si>
    <t>NW</t>
  </si>
  <si>
    <t>school unoform</t>
  </si>
  <si>
    <t>summer hols</t>
  </si>
  <si>
    <t>lego</t>
  </si>
  <si>
    <t>car fund</t>
  </si>
  <si>
    <t>s</t>
  </si>
  <si>
    <t>Car Balance</t>
  </si>
  <si>
    <t>Total Left</t>
  </si>
  <si>
    <t>Car Fund Savings</t>
  </si>
  <si>
    <t>Money From Noetica</t>
  </si>
  <si>
    <t>Virgin ISA</t>
  </si>
  <si>
    <t>Rainy Day 🌧️</t>
  </si>
  <si>
    <t>Holiday Fund ☀️</t>
  </si>
  <si>
    <t>Dental 🪥</t>
  </si>
  <si>
    <t>Summer Holiday ⛱️</t>
  </si>
  <si>
    <t>Service Fund 🚗</t>
  </si>
  <si>
    <t>Christmas 🎄</t>
  </si>
  <si>
    <t>Vet Fund 😺</t>
  </si>
  <si>
    <t>emergancy fund</t>
  </si>
  <si>
    <t>Emergency Target</t>
  </si>
  <si>
    <t>Emergency Left</t>
  </si>
  <si>
    <t>Percentage</t>
  </si>
  <si>
    <t>anniversary</t>
  </si>
  <si>
    <t>Hair 💇‍♀️</t>
  </si>
  <si>
    <t>hair</t>
  </si>
  <si>
    <t>Category</t>
  </si>
  <si>
    <t>House</t>
  </si>
  <si>
    <t>Insurance</t>
  </si>
  <si>
    <t>HouseBill</t>
  </si>
  <si>
    <t>Subscription</t>
  </si>
  <si>
    <t>Mobile</t>
  </si>
  <si>
    <t>Food</t>
  </si>
  <si>
    <t>Spending</t>
  </si>
  <si>
    <t>Medical</t>
  </si>
  <si>
    <t>francesca Isa</t>
  </si>
  <si>
    <t>willow isa</t>
  </si>
  <si>
    <t>isa payment</t>
  </si>
  <si>
    <t>mum birthday</t>
  </si>
  <si>
    <t>holiday fund isa</t>
  </si>
  <si>
    <t>next month</t>
  </si>
  <si>
    <t xml:space="preserve">next   </t>
  </si>
  <si>
    <t>anita and andrew</t>
  </si>
  <si>
    <t>car fix fund</t>
  </si>
  <si>
    <t>credit card</t>
  </si>
  <si>
    <t>credit card ma</t>
  </si>
  <si>
    <t>xmas trip</t>
  </si>
  <si>
    <t>half term</t>
  </si>
  <si>
    <t>klana</t>
  </si>
  <si>
    <t>isa</t>
  </si>
  <si>
    <t>HEALTH INSURANCE</t>
  </si>
  <si>
    <t>LV handbag fund</t>
  </si>
  <si>
    <t>health insure</t>
  </si>
  <si>
    <t>franny phone</t>
  </si>
  <si>
    <t>Christmas francesca🎄</t>
  </si>
  <si>
    <t>bag</t>
  </si>
  <si>
    <t>matt credit</t>
  </si>
  <si>
    <t>christmas frank</t>
  </si>
  <si>
    <t>plummer</t>
  </si>
  <si>
    <t>misc</t>
  </si>
  <si>
    <t>christmas hols</t>
  </si>
  <si>
    <t xml:space="preserve">in willows hsbc </t>
  </si>
  <si>
    <t>new year</t>
  </si>
  <si>
    <t>face money</t>
  </si>
  <si>
    <t xml:space="preserve">face </t>
  </si>
  <si>
    <t>pocket money</t>
  </si>
  <si>
    <t>lunch</t>
  </si>
  <si>
    <t>rumpus food</t>
  </si>
  <si>
    <t>breakdown</t>
  </si>
  <si>
    <t>matt credit card</t>
  </si>
  <si>
    <t>cat food</t>
  </si>
  <si>
    <t>nor holiday fund in matt</t>
  </si>
  <si>
    <t>FRANNYS MONEY</t>
  </si>
  <si>
    <t>PAINT</t>
  </si>
  <si>
    <t>NORWAY</t>
  </si>
  <si>
    <t>WILLOW bday</t>
  </si>
  <si>
    <t>D AND G</t>
  </si>
  <si>
    <t>dad paint</t>
  </si>
  <si>
    <t>week fund</t>
  </si>
  <si>
    <t>plan</t>
  </si>
  <si>
    <t>put 500.00 in to emergancy fund</t>
  </si>
  <si>
    <t>put any cash from  fec consultancy large amounts) into emergancy fund</t>
  </si>
  <si>
    <t>reach 10000</t>
  </si>
  <si>
    <t>may 2026 evalutate paying work pension</t>
  </si>
  <si>
    <t>put money into money box pension</t>
  </si>
  <si>
    <t>face</t>
  </si>
  <si>
    <t>washing machine</t>
  </si>
  <si>
    <t xml:space="preserve">kettle </t>
  </si>
  <si>
    <t>Willow Dinner</t>
  </si>
  <si>
    <t>Francesca Birthday</t>
  </si>
  <si>
    <t>Alison Cat</t>
  </si>
  <si>
    <t>fran saving</t>
  </si>
  <si>
    <t>5 week month</t>
  </si>
  <si>
    <t>alison</t>
  </si>
  <si>
    <t>my face</t>
  </si>
  <si>
    <t>appl</t>
  </si>
  <si>
    <t>applee</t>
  </si>
  <si>
    <t>car payment</t>
  </si>
  <si>
    <t>money for month</t>
  </si>
  <si>
    <t>backpack</t>
  </si>
  <si>
    <t>easter</t>
  </si>
  <si>
    <t>green waste</t>
  </si>
  <si>
    <t>conv</t>
  </si>
  <si>
    <t>fran credit card</t>
  </si>
  <si>
    <t>trousers</t>
  </si>
  <si>
    <t>money for car</t>
  </si>
  <si>
    <t xml:space="preserve">petrol </t>
  </si>
  <si>
    <t>money for fran</t>
  </si>
  <si>
    <t>FRAN BIRTHDAAY</t>
  </si>
  <si>
    <t>SERVICE MONEY</t>
  </si>
  <si>
    <t>TAX</t>
  </si>
  <si>
    <t>TRAIN TICKETS OSLO</t>
  </si>
  <si>
    <t>oslo</t>
  </si>
  <si>
    <t>furnitiure</t>
  </si>
  <si>
    <t xml:space="preserve">Savings </t>
  </si>
  <si>
    <t>rumpus arun vet</t>
  </si>
  <si>
    <t>fran credit</t>
  </si>
  <si>
    <t>willows wardrobe</t>
  </si>
  <si>
    <t>nails</t>
  </si>
  <si>
    <t>LifeInsurance/vitality</t>
  </si>
  <si>
    <t>mattt</t>
  </si>
  <si>
    <t>silverstone</t>
  </si>
  <si>
    <t>festival of speed</t>
  </si>
  <si>
    <t>summer holidays</t>
  </si>
  <si>
    <t>festival</t>
  </si>
  <si>
    <t>portmerion</t>
  </si>
  <si>
    <t>school uniform</t>
  </si>
  <si>
    <t>france</t>
  </si>
  <si>
    <t xml:space="preserve">lunch </t>
  </si>
  <si>
    <t>me</t>
  </si>
  <si>
    <t>matt trip</t>
  </si>
  <si>
    <t>matt gift</t>
  </si>
  <si>
    <t>mattchristmas</t>
  </si>
  <si>
    <t>matts parents</t>
  </si>
  <si>
    <t>27yrs 8 Months</t>
  </si>
  <si>
    <t>half termm</t>
  </si>
  <si>
    <t>RICS and H2B</t>
  </si>
  <si>
    <t>willows stocking</t>
  </si>
  <si>
    <t>matt bday</t>
  </si>
  <si>
    <t>nov</t>
  </si>
  <si>
    <t>advent</t>
  </si>
  <si>
    <t>rumpus vet refund</t>
  </si>
  <si>
    <t>ocado -7</t>
  </si>
  <si>
    <t>christma</t>
  </si>
  <si>
    <t>5 week</t>
  </si>
  <si>
    <t>get from will mummy</t>
  </si>
  <si>
    <t>gift 4 daddy willow</t>
  </si>
  <si>
    <t>matt meals</t>
  </si>
  <si>
    <t>new years</t>
  </si>
  <si>
    <t>mum and dad bday</t>
  </si>
  <si>
    <t>s and shares isa</t>
  </si>
  <si>
    <t>current</t>
  </si>
  <si>
    <t>trip for h o p</t>
  </si>
  <si>
    <t>westfields</t>
  </si>
  <si>
    <t>w</t>
  </si>
  <si>
    <t>s and shares</t>
  </si>
  <si>
    <t>cash</t>
  </si>
  <si>
    <t>lokin</t>
  </si>
  <si>
    <t>david</t>
  </si>
  <si>
    <t>aviv</t>
  </si>
  <si>
    <t>levi</t>
  </si>
  <si>
    <t>charlotte</t>
  </si>
  <si>
    <t>georgina</t>
  </si>
  <si>
    <t>realan</t>
  </si>
  <si>
    <t>jackson</t>
  </si>
  <si>
    <t>li</t>
  </si>
  <si>
    <t>hlf term</t>
  </si>
  <si>
    <t>tickets</t>
  </si>
  <si>
    <t>245 teeth</t>
  </si>
  <si>
    <t>DINNER</t>
  </si>
  <si>
    <t>stocks and shares isa</t>
  </si>
  <si>
    <t>decorating</t>
  </si>
  <si>
    <t>bercleys</t>
  </si>
  <si>
    <t>stock and share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</si>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</sst>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£&quot;#,##0;[Red]\-&quot;£&quot;#,##0"/>
    <numFmt numFmtId="8" formatCode="&quot;£&quot;#,##0.00;[Red]\-&quot;£&quot;#,##0.00"/>
    <numFmt numFmtId="44" formatCode="_-&quot;£&quot;* #,##0.00_-;\-&quot;£&quot;* #,##0.00_-;_-&quot;£&quot;* &quot;-&quot;??_-;_-@_-"/>
    <numFmt numFmtId="164" formatCode="_-[$£-809]* #,##0.00_-;\-[$£-809]* #,##0.00_-;_-[$£-809]* &quot;-&quot;??_-;_-@_-"/>
  </numFmts>
  <fonts count="29">
    <font>
      <sz val="11"/>
      <color rgb="FF000000"/>
      <name val="Arial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3"/>
      <color rgb="FF333333"/>
      <name val="Arial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sz val="11"/>
      <color rgb="FF484848"/>
      <name val="Open Sans"/>
      <family val="2"/>
    </font>
    <font>
      <b/>
      <sz val="10"/>
      <color rgb="FF333333"/>
      <name val="Arial"/>
      <family val="2"/>
    </font>
    <font>
      <sz val="11"/>
      <color rgb="FF212529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7"/>
      <color rgb="FFFA6338"/>
      <name val="SF UI Text"/>
    </font>
    <font>
      <sz val="8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u/>
      <sz val="11"/>
      <color rgb="FF000000"/>
      <name val="Calibri"/>
      <family val="2"/>
    </font>
    <font>
      <sz val="12"/>
      <color rgb="FF516CB3"/>
      <name val="Calibri"/>
      <family val="2"/>
    </font>
    <font>
      <sz val="11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0C0C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theme="1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57">
    <xf numFmtId="0" fontId="0" fillId="0" borderId="0" xfId="0"/>
    <xf numFmtId="44" fontId="5" fillId="0" borderId="0" xfId="0" applyNumberFormat="1" applyFont="1" applyProtection="1">
      <protection locked="0"/>
    </xf>
    <xf numFmtId="164" fontId="5" fillId="0" borderId="0" xfId="0" applyNumberFormat="1" applyFont="1" applyProtection="1">
      <protection locked="0"/>
    </xf>
    <xf numFmtId="0" fontId="6" fillId="0" borderId="0" xfId="0" applyFont="1"/>
    <xf numFmtId="44" fontId="7" fillId="2" borderId="18" xfId="0" applyNumberFormat="1" applyFont="1" applyFill="1" applyBorder="1" applyProtection="1">
      <protection locked="0"/>
    </xf>
    <xf numFmtId="44" fontId="7" fillId="2" borderId="20" xfId="0" applyNumberFormat="1" applyFont="1" applyFill="1" applyBorder="1" applyProtection="1">
      <protection locked="0"/>
    </xf>
    <xf numFmtId="44" fontId="7" fillId="2" borderId="19" xfId="0" applyNumberFormat="1" applyFont="1" applyFill="1" applyBorder="1" applyProtection="1">
      <protection locked="0"/>
    </xf>
    <xf numFmtId="44" fontId="7" fillId="2" borderId="17" xfId="0" applyNumberFormat="1" applyFont="1" applyFill="1" applyBorder="1" applyProtection="1">
      <protection locked="0"/>
    </xf>
    <xf numFmtId="0" fontId="7" fillId="0" borderId="0" xfId="0" applyFont="1" applyProtection="1">
      <protection locked="0"/>
    </xf>
    <xf numFmtId="44" fontId="6" fillId="0" borderId="0" xfId="0" applyNumberFormat="1" applyFont="1"/>
    <xf numFmtId="6" fontId="6" fillId="0" borderId="26" xfId="0" applyNumberFormat="1" applyFont="1" applyBorder="1"/>
    <xf numFmtId="44" fontId="2" fillId="0" borderId="1" xfId="0" applyNumberFormat="1" applyFont="1" applyBorder="1" applyAlignment="1" applyProtection="1">
      <alignment vertical="top"/>
      <protection locked="0"/>
    </xf>
    <xf numFmtId="8" fontId="2" fillId="0" borderId="1" xfId="0" applyNumberFormat="1" applyFont="1" applyBorder="1" applyAlignment="1" applyProtection="1">
      <alignment vertical="top"/>
      <protection locked="0"/>
    </xf>
    <xf numFmtId="44" fontId="3" fillId="0" borderId="1" xfId="0" applyNumberFormat="1" applyFont="1" applyBorder="1" applyAlignment="1" applyProtection="1">
      <alignment vertical="top"/>
      <protection locked="0"/>
    </xf>
    <xf numFmtId="0" fontId="2" fillId="0" borderId="0" xfId="0" applyFont="1" applyProtection="1">
      <protection locked="0"/>
    </xf>
    <xf numFmtId="8" fontId="2" fillId="0" borderId="0" xfId="0" applyNumberFormat="1" applyFont="1" applyProtection="1">
      <protection locked="0"/>
    </xf>
    <xf numFmtId="8" fontId="8" fillId="0" borderId="0" xfId="0" applyNumberFormat="1" applyFont="1"/>
    <xf numFmtId="0" fontId="6" fillId="0" borderId="27" xfId="0" applyFont="1" applyBorder="1"/>
    <xf numFmtId="0" fontId="1" fillId="0" borderId="27" xfId="0" applyFont="1" applyBorder="1"/>
    <xf numFmtId="0" fontId="7" fillId="4" borderId="13" xfId="0" applyFont="1" applyFill="1" applyBorder="1" applyProtection="1">
      <protection locked="0"/>
    </xf>
    <xf numFmtId="44" fontId="3" fillId="4" borderId="1" xfId="0" applyNumberFormat="1" applyFont="1" applyFill="1" applyBorder="1" applyAlignment="1" applyProtection="1">
      <alignment vertical="top"/>
      <protection locked="0"/>
    </xf>
    <xf numFmtId="0" fontId="7" fillId="4" borderId="14" xfId="0" applyFont="1" applyFill="1" applyBorder="1" applyProtection="1">
      <protection locked="0"/>
    </xf>
    <xf numFmtId="0" fontId="7" fillId="2" borderId="13" xfId="0" applyFont="1" applyFill="1" applyBorder="1" applyProtection="1">
      <protection locked="0"/>
    </xf>
    <xf numFmtId="44" fontId="7" fillId="2" borderId="27" xfId="0" applyNumberFormat="1" applyFont="1" applyFill="1" applyBorder="1" applyProtection="1">
      <protection locked="0"/>
    </xf>
    <xf numFmtId="44" fontId="7" fillId="2" borderId="23" xfId="0" applyNumberFormat="1" applyFont="1" applyFill="1" applyBorder="1" applyProtection="1">
      <protection locked="0"/>
    </xf>
    <xf numFmtId="44" fontId="7" fillId="2" borderId="24" xfId="0" applyNumberFormat="1" applyFont="1" applyFill="1" applyBorder="1" applyProtection="1">
      <protection locked="0"/>
    </xf>
    <xf numFmtId="44" fontId="7" fillId="4" borderId="28" xfId="0" applyNumberFormat="1" applyFont="1" applyFill="1" applyBorder="1" applyProtection="1">
      <protection locked="0"/>
    </xf>
    <xf numFmtId="44" fontId="7" fillId="4" borderId="29" xfId="0" applyNumberFormat="1" applyFont="1" applyFill="1" applyBorder="1" applyProtection="1">
      <protection locked="0"/>
    </xf>
    <xf numFmtId="0" fontId="7" fillId="4" borderId="32" xfId="0" applyFont="1" applyFill="1" applyBorder="1" applyProtection="1">
      <protection locked="0"/>
    </xf>
    <xf numFmtId="44" fontId="7" fillId="4" borderId="33" xfId="0" applyNumberFormat="1" applyFont="1" applyFill="1" applyBorder="1" applyProtection="1">
      <protection locked="0"/>
    </xf>
    <xf numFmtId="0" fontId="4" fillId="0" borderId="0" xfId="0" applyFont="1" applyProtection="1">
      <protection locked="0"/>
    </xf>
    <xf numFmtId="44" fontId="4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0" fontId="7" fillId="2" borderId="1" xfId="0" applyFont="1" applyFill="1" applyBorder="1" applyProtection="1">
      <protection locked="0"/>
    </xf>
    <xf numFmtId="44" fontId="7" fillId="2" borderId="13" xfId="0" applyNumberFormat="1" applyFont="1" applyFill="1" applyBorder="1" applyProtection="1">
      <protection locked="0"/>
    </xf>
    <xf numFmtId="8" fontId="7" fillId="2" borderId="17" xfId="0" applyNumberFormat="1" applyFont="1" applyFill="1" applyBorder="1" applyProtection="1">
      <protection locked="0"/>
    </xf>
    <xf numFmtId="44" fontId="4" fillId="2" borderId="17" xfId="0" applyNumberFormat="1" applyFont="1" applyFill="1" applyBorder="1" applyProtection="1">
      <protection locked="0"/>
    </xf>
    <xf numFmtId="44" fontId="4" fillId="2" borderId="18" xfId="0" applyNumberFormat="1" applyFont="1" applyFill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0" borderId="14" xfId="0" applyFont="1" applyBorder="1" applyProtection="1">
      <protection locked="0"/>
    </xf>
    <xf numFmtId="0" fontId="4" fillId="3" borderId="1" xfId="0" applyFont="1" applyFill="1" applyBorder="1" applyProtection="1">
      <protection locked="0"/>
    </xf>
    <xf numFmtId="44" fontId="4" fillId="3" borderId="13" xfId="0" applyNumberFormat="1" applyFont="1" applyFill="1" applyBorder="1" applyProtection="1">
      <protection locked="0"/>
    </xf>
    <xf numFmtId="0" fontId="7" fillId="2" borderId="19" xfId="0" applyFont="1" applyFill="1" applyBorder="1" applyProtection="1">
      <protection locked="0"/>
    </xf>
    <xf numFmtId="44" fontId="4" fillId="2" borderId="19" xfId="0" applyNumberFormat="1" applyFont="1" applyFill="1" applyBorder="1" applyProtection="1">
      <protection locked="0"/>
    </xf>
    <xf numFmtId="44" fontId="4" fillId="2" borderId="20" xfId="0" applyNumberFormat="1" applyFont="1" applyFill="1" applyBorder="1" applyProtection="1">
      <protection locked="0"/>
    </xf>
    <xf numFmtId="44" fontId="4" fillId="2" borderId="23" xfId="0" applyNumberFormat="1" applyFont="1" applyFill="1" applyBorder="1" applyProtection="1">
      <protection locked="0"/>
    </xf>
    <xf numFmtId="44" fontId="4" fillId="2" borderId="24" xfId="0" applyNumberFormat="1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44" fontId="7" fillId="2" borderId="22" xfId="0" applyNumberFormat="1" applyFont="1" applyFill="1" applyBorder="1" applyProtection="1">
      <protection locked="0"/>
    </xf>
    <xf numFmtId="44" fontId="7" fillId="2" borderId="1" xfId="0" applyNumberFormat="1" applyFont="1" applyFill="1" applyBorder="1" applyProtection="1">
      <protection locked="0"/>
    </xf>
    <xf numFmtId="44" fontId="2" fillId="0" borderId="0" xfId="0" applyNumberFormat="1" applyFont="1" applyProtection="1">
      <protection locked="0"/>
    </xf>
    <xf numFmtId="44" fontId="7" fillId="2" borderId="21" xfId="0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7" fillId="0" borderId="2" xfId="0" applyFont="1" applyBorder="1" applyProtection="1">
      <protection locked="0"/>
    </xf>
    <xf numFmtId="44" fontId="7" fillId="0" borderId="3" xfId="0" applyNumberFormat="1" applyFont="1" applyBorder="1" applyProtection="1">
      <protection locked="0"/>
    </xf>
    <xf numFmtId="0" fontId="7" fillId="0" borderId="3" xfId="0" applyFont="1" applyBorder="1" applyProtection="1">
      <protection locked="0"/>
    </xf>
    <xf numFmtId="44" fontId="7" fillId="0" borderId="4" xfId="0" applyNumberFormat="1" applyFont="1" applyBorder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7" fillId="0" borderId="5" xfId="0" applyFont="1" applyBorder="1" applyProtection="1">
      <protection locked="0"/>
    </xf>
    <xf numFmtId="44" fontId="4" fillId="0" borderId="1" xfId="0" applyNumberFormat="1" applyFont="1" applyBorder="1" applyProtection="1">
      <protection locked="0"/>
    </xf>
    <xf numFmtId="44" fontId="4" fillId="0" borderId="6" xfId="0" applyNumberFormat="1" applyFont="1" applyBorder="1" applyProtection="1">
      <protection locked="0"/>
    </xf>
    <xf numFmtId="0" fontId="7" fillId="0" borderId="7" xfId="0" applyFont="1" applyBorder="1" applyProtection="1">
      <protection locked="0"/>
    </xf>
    <xf numFmtId="44" fontId="4" fillId="0" borderId="8" xfId="0" applyNumberFormat="1" applyFont="1" applyBorder="1" applyProtection="1">
      <protection locked="0"/>
    </xf>
    <xf numFmtId="0" fontId="4" fillId="0" borderId="8" xfId="0" applyFont="1" applyBorder="1" applyProtection="1">
      <protection locked="0"/>
    </xf>
    <xf numFmtId="44" fontId="4" fillId="0" borderId="9" xfId="0" applyNumberFormat="1" applyFont="1" applyBorder="1" applyProtection="1">
      <protection locked="0"/>
    </xf>
    <xf numFmtId="0" fontId="4" fillId="0" borderId="10" xfId="0" applyFont="1" applyBorder="1" applyProtection="1">
      <protection locked="0"/>
    </xf>
    <xf numFmtId="44" fontId="4" fillId="0" borderId="10" xfId="0" applyNumberFormat="1" applyFont="1" applyBorder="1" applyProtection="1">
      <protection locked="0"/>
    </xf>
    <xf numFmtId="0" fontId="4" fillId="0" borderId="11" xfId="0" applyFont="1" applyBorder="1" applyProtection="1">
      <protection locked="0"/>
    </xf>
    <xf numFmtId="0" fontId="4" fillId="0" borderId="16" xfId="0" applyFont="1" applyBorder="1" applyProtection="1">
      <protection locked="0"/>
    </xf>
    <xf numFmtId="164" fontId="4" fillId="0" borderId="16" xfId="0" applyNumberFormat="1" applyFont="1" applyBorder="1" applyProtection="1">
      <protection locked="0"/>
    </xf>
    <xf numFmtId="0" fontId="4" fillId="0" borderId="12" xfId="0" applyFont="1" applyBorder="1" applyProtection="1">
      <protection locked="0"/>
    </xf>
    <xf numFmtId="164" fontId="4" fillId="0" borderId="12" xfId="0" applyNumberFormat="1" applyFont="1" applyBorder="1" applyProtection="1">
      <protection locked="0"/>
    </xf>
    <xf numFmtId="0" fontId="7" fillId="0" borderId="27" xfId="0" applyFont="1" applyBorder="1" applyProtection="1">
      <protection locked="0"/>
    </xf>
    <xf numFmtId="17" fontId="6" fillId="0" borderId="0" xfId="0" applyNumberFormat="1" applyFont="1"/>
    <xf numFmtId="0" fontId="7" fillId="0" borderId="12" xfId="0" applyFont="1" applyBorder="1" applyProtection="1">
      <protection locked="0"/>
    </xf>
    <xf numFmtId="164" fontId="7" fillId="0" borderId="15" xfId="0" applyNumberFormat="1" applyFont="1" applyBorder="1" applyProtection="1">
      <protection locked="0"/>
    </xf>
    <xf numFmtId="6" fontId="0" fillId="0" borderId="0" xfId="0" applyNumberFormat="1"/>
    <xf numFmtId="8" fontId="2" fillId="0" borderId="25" xfId="0" applyNumberFormat="1" applyFont="1" applyBorder="1" applyAlignment="1" applyProtection="1">
      <alignment vertical="top"/>
      <protection locked="0"/>
    </xf>
    <xf numFmtId="164" fontId="4" fillId="0" borderId="26" xfId="0" applyNumberFormat="1" applyFont="1" applyBorder="1" applyProtection="1">
      <protection locked="0"/>
    </xf>
    <xf numFmtId="0" fontId="4" fillId="0" borderId="27" xfId="0" applyFont="1" applyBorder="1" applyProtection="1">
      <protection locked="0"/>
    </xf>
    <xf numFmtId="0" fontId="3" fillId="0" borderId="0" xfId="0" applyFont="1" applyProtection="1">
      <protection locked="0"/>
    </xf>
    <xf numFmtId="44" fontId="2" fillId="0" borderId="25" xfId="0" applyNumberFormat="1" applyFont="1" applyBorder="1" applyAlignment="1" applyProtection="1">
      <alignment vertical="top"/>
      <protection locked="0"/>
    </xf>
    <xf numFmtId="44" fontId="4" fillId="3" borderId="13" xfId="0" applyNumberFormat="1" applyFont="1" applyFill="1" applyBorder="1" applyAlignment="1" applyProtection="1">
      <alignment horizontal="right"/>
      <protection locked="0"/>
    </xf>
    <xf numFmtId="44" fontId="0" fillId="0" borderId="0" xfId="0" applyNumberFormat="1"/>
    <xf numFmtId="0" fontId="9" fillId="0" borderId="0" xfId="1"/>
    <xf numFmtId="0" fontId="0" fillId="0" borderId="27" xfId="0" applyBorder="1"/>
    <xf numFmtId="44" fontId="0" fillId="0" borderId="27" xfId="2" applyFont="1" applyBorder="1"/>
    <xf numFmtId="0" fontId="11" fillId="0" borderId="0" xfId="0" applyFont="1"/>
    <xf numFmtId="0" fontId="1" fillId="5" borderId="27" xfId="0" applyFont="1" applyFill="1" applyBorder="1"/>
    <xf numFmtId="44" fontId="1" fillId="5" borderId="27" xfId="0" applyNumberFormat="1" applyFont="1" applyFill="1" applyBorder="1"/>
    <xf numFmtId="0" fontId="1" fillId="6" borderId="27" xfId="0" applyFont="1" applyFill="1" applyBorder="1"/>
    <xf numFmtId="44" fontId="4" fillId="0" borderId="27" xfId="0" applyNumberFormat="1" applyFont="1" applyBorder="1" applyProtection="1">
      <protection locked="0"/>
    </xf>
    <xf numFmtId="164" fontId="6" fillId="0" borderId="27" xfId="0" applyNumberFormat="1" applyFont="1" applyBorder="1"/>
    <xf numFmtId="44" fontId="1" fillId="6" borderId="27" xfId="2" applyFont="1" applyFill="1" applyBorder="1"/>
    <xf numFmtId="44" fontId="3" fillId="4" borderId="14" xfId="0" applyNumberFormat="1" applyFont="1" applyFill="1" applyBorder="1" applyAlignment="1" applyProtection="1">
      <alignment vertical="top"/>
      <protection locked="0"/>
    </xf>
    <xf numFmtId="0" fontId="4" fillId="3" borderId="30" xfId="0" applyFont="1" applyFill="1" applyBorder="1" applyProtection="1">
      <protection locked="0"/>
    </xf>
    <xf numFmtId="4" fontId="12" fillId="0" borderId="0" xfId="0" applyNumberFormat="1" applyFont="1"/>
    <xf numFmtId="6" fontId="6" fillId="0" borderId="0" xfId="0" applyNumberFormat="1" applyFont="1"/>
    <xf numFmtId="0" fontId="13" fillId="0" borderId="0" xfId="0" applyFont="1"/>
    <xf numFmtId="0" fontId="4" fillId="3" borderId="27" xfId="0" applyFont="1" applyFill="1" applyBorder="1" applyProtection="1">
      <protection locked="0"/>
    </xf>
    <xf numFmtId="8" fontId="0" fillId="0" borderId="0" xfId="0" applyNumberFormat="1"/>
    <xf numFmtId="0" fontId="7" fillId="2" borderId="35" xfId="0" applyFont="1" applyFill="1" applyBorder="1" applyProtection="1">
      <protection locked="0"/>
    </xf>
    <xf numFmtId="44" fontId="7" fillId="2" borderId="36" xfId="0" applyNumberFormat="1" applyFont="1" applyFill="1" applyBorder="1" applyProtection="1">
      <protection locked="0"/>
    </xf>
    <xf numFmtId="0" fontId="7" fillId="2" borderId="37" xfId="0" applyFont="1" applyFill="1" applyBorder="1" applyProtection="1">
      <protection locked="0"/>
    </xf>
    <xf numFmtId="44" fontId="7" fillId="2" borderId="38" xfId="0" applyNumberFormat="1" applyFont="1" applyFill="1" applyBorder="1" applyProtection="1">
      <protection locked="0"/>
    </xf>
    <xf numFmtId="0" fontId="7" fillId="4" borderId="34" xfId="0" applyFont="1" applyFill="1" applyBorder="1" applyProtection="1">
      <protection locked="0"/>
    </xf>
    <xf numFmtId="0" fontId="4" fillId="7" borderId="41" xfId="0" applyFont="1" applyFill="1" applyBorder="1" applyProtection="1">
      <protection locked="0"/>
    </xf>
    <xf numFmtId="44" fontId="7" fillId="2" borderId="28" xfId="0" applyNumberFormat="1" applyFont="1" applyFill="1" applyBorder="1" applyProtection="1">
      <protection locked="0"/>
    </xf>
    <xf numFmtId="44" fontId="7" fillId="2" borderId="29" xfId="0" applyNumberFormat="1" applyFont="1" applyFill="1" applyBorder="1" applyProtection="1">
      <protection locked="0"/>
    </xf>
    <xf numFmtId="44" fontId="6" fillId="0" borderId="0" xfId="2" applyFont="1"/>
    <xf numFmtId="3" fontId="14" fillId="0" borderId="0" xfId="0" applyNumberFormat="1" applyFont="1"/>
    <xf numFmtId="14" fontId="4" fillId="0" borderId="0" xfId="0" applyNumberFormat="1" applyFont="1" applyProtection="1">
      <protection locked="0"/>
    </xf>
    <xf numFmtId="8" fontId="6" fillId="0" borderId="0" xfId="0" applyNumberFormat="1" applyFont="1"/>
    <xf numFmtId="44" fontId="7" fillId="2" borderId="37" xfId="2" applyFont="1" applyFill="1" applyBorder="1" applyAlignment="1" applyProtection="1">
      <protection locked="0"/>
    </xf>
    <xf numFmtId="0" fontId="15" fillId="0" borderId="0" xfId="0" applyFont="1"/>
    <xf numFmtId="8" fontId="16" fillId="0" borderId="0" xfId="0" applyNumberFormat="1" applyFont="1"/>
    <xf numFmtId="0" fontId="7" fillId="4" borderId="43" xfId="0" applyFont="1" applyFill="1" applyBorder="1" applyProtection="1">
      <protection locked="0"/>
    </xf>
    <xf numFmtId="0" fontId="7" fillId="2" borderId="27" xfId="0" applyFont="1" applyFill="1" applyBorder="1" applyProtection="1">
      <protection locked="0"/>
    </xf>
    <xf numFmtId="44" fontId="7" fillId="2" borderId="27" xfId="2" applyFont="1" applyFill="1" applyBorder="1" applyAlignment="1" applyProtection="1">
      <protection locked="0"/>
    </xf>
    <xf numFmtId="0" fontId="7" fillId="4" borderId="27" xfId="0" applyFont="1" applyFill="1" applyBorder="1" applyProtection="1">
      <protection locked="0"/>
    </xf>
    <xf numFmtId="44" fontId="7" fillId="4" borderId="27" xfId="0" applyNumberFormat="1" applyFont="1" applyFill="1" applyBorder="1" applyProtection="1">
      <protection locked="0"/>
    </xf>
    <xf numFmtId="0" fontId="4" fillId="7" borderId="27" xfId="0" applyFont="1" applyFill="1" applyBorder="1" applyProtection="1">
      <protection locked="0"/>
    </xf>
    <xf numFmtId="44" fontId="3" fillId="4" borderId="27" xfId="0" applyNumberFormat="1" applyFont="1" applyFill="1" applyBorder="1" applyAlignment="1" applyProtection="1">
      <alignment vertical="top"/>
      <protection locked="0"/>
    </xf>
    <xf numFmtId="44" fontId="2" fillId="0" borderId="27" xfId="0" applyNumberFormat="1" applyFont="1" applyBorder="1" applyAlignment="1" applyProtection="1">
      <alignment vertical="top"/>
      <protection locked="0"/>
    </xf>
    <xf numFmtId="8" fontId="2" fillId="0" borderId="27" xfId="0" applyNumberFormat="1" applyFont="1" applyBorder="1" applyAlignment="1" applyProtection="1">
      <alignment vertical="top"/>
      <protection locked="0"/>
    </xf>
    <xf numFmtId="8" fontId="0" fillId="0" borderId="27" xfId="0" applyNumberFormat="1" applyBorder="1"/>
    <xf numFmtId="0" fontId="4" fillId="7" borderId="44" xfId="0" applyFont="1" applyFill="1" applyBorder="1" applyProtection="1">
      <protection locked="0"/>
    </xf>
    <xf numFmtId="44" fontId="0" fillId="0" borderId="0" xfId="2" applyFont="1"/>
    <xf numFmtId="44" fontId="2" fillId="0" borderId="45" xfId="0" applyNumberFormat="1" applyFont="1" applyBorder="1" applyAlignment="1" applyProtection="1">
      <alignment vertical="top"/>
      <protection locked="0"/>
    </xf>
    <xf numFmtId="44" fontId="0" fillId="0" borderId="27" xfId="0" applyNumberFormat="1" applyBorder="1"/>
    <xf numFmtId="44" fontId="6" fillId="0" borderId="27" xfId="0" applyNumberFormat="1" applyFont="1" applyBorder="1"/>
    <xf numFmtId="8" fontId="2" fillId="0" borderId="27" xfId="0" applyNumberFormat="1" applyFont="1" applyBorder="1" applyAlignment="1" applyProtection="1">
      <alignment horizontal="center" vertical="center"/>
      <protection locked="0"/>
    </xf>
    <xf numFmtId="44" fontId="2" fillId="0" borderId="27" xfId="0" applyNumberFormat="1" applyFont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center"/>
    </xf>
    <xf numFmtId="8" fontId="6" fillId="0" borderId="27" xfId="0" applyNumberFormat="1" applyFont="1" applyBorder="1" applyAlignment="1">
      <alignment horizontal="center" vertical="center"/>
    </xf>
    <xf numFmtId="0" fontId="7" fillId="4" borderId="50" xfId="0" applyFont="1" applyFill="1" applyBorder="1" applyAlignment="1" applyProtection="1">
      <alignment horizontal="left" vertical="center"/>
      <protection locked="0"/>
    </xf>
    <xf numFmtId="44" fontId="3" fillId="4" borderId="51" xfId="0" applyNumberFormat="1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44" fontId="2" fillId="0" borderId="52" xfId="0" applyNumberFormat="1" applyFont="1" applyBorder="1" applyAlignment="1" applyProtection="1">
      <alignment horizontal="left" vertical="center"/>
      <protection locked="0"/>
    </xf>
    <xf numFmtId="44" fontId="2" fillId="0" borderId="38" xfId="0" applyNumberFormat="1" applyFont="1" applyBorder="1" applyAlignment="1" applyProtection="1">
      <alignment horizontal="left" vertical="center"/>
      <protection locked="0"/>
    </xf>
    <xf numFmtId="0" fontId="6" fillId="0" borderId="52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8" fontId="2" fillId="0" borderId="53" xfId="0" applyNumberFormat="1" applyFont="1" applyBorder="1" applyAlignment="1" applyProtection="1">
      <alignment horizontal="center" vertical="center"/>
      <protection locked="0"/>
    </xf>
    <xf numFmtId="44" fontId="2" fillId="0" borderId="42" xfId="0" applyNumberFormat="1" applyFont="1" applyBorder="1" applyAlignment="1" applyProtection="1">
      <alignment horizontal="left" vertical="center"/>
      <protection locked="0"/>
    </xf>
    <xf numFmtId="4" fontId="14" fillId="0" borderId="0" xfId="0" applyNumberFormat="1" applyFont="1"/>
    <xf numFmtId="44" fontId="6" fillId="0" borderId="27" xfId="2" applyFont="1" applyBorder="1"/>
    <xf numFmtId="0" fontId="9" fillId="0" borderId="27" xfId="1" applyBorder="1"/>
    <xf numFmtId="0" fontId="0" fillId="0" borderId="31" xfId="0" applyBorder="1"/>
    <xf numFmtId="44" fontId="0" fillId="0" borderId="31" xfId="2" applyFont="1" applyBorder="1"/>
    <xf numFmtId="0" fontId="9" fillId="0" borderId="0" xfId="1" applyBorder="1"/>
    <xf numFmtId="0" fontId="0" fillId="0" borderId="55" xfId="0" applyBorder="1"/>
    <xf numFmtId="0" fontId="6" fillId="0" borderId="55" xfId="0" applyFont="1" applyBorder="1"/>
    <xf numFmtId="0" fontId="0" fillId="0" borderId="56" xfId="0" applyBorder="1"/>
    <xf numFmtId="14" fontId="0" fillId="0" borderId="27" xfId="0" applyNumberFormat="1" applyBorder="1"/>
    <xf numFmtId="44" fontId="16" fillId="8" borderId="54" xfId="0" applyNumberFormat="1" applyFont="1" applyFill="1" applyBorder="1"/>
    <xf numFmtId="0" fontId="0" fillId="0" borderId="0" xfId="0" applyAlignment="1">
      <alignment horizontal="center"/>
    </xf>
    <xf numFmtId="44" fontId="7" fillId="0" borderId="0" xfId="0" applyNumberFormat="1" applyFont="1" applyProtection="1">
      <protection locked="0"/>
    </xf>
    <xf numFmtId="0" fontId="1" fillId="0" borderId="0" xfId="0" applyFont="1"/>
    <xf numFmtId="0" fontId="6" fillId="0" borderId="56" xfId="0" applyFont="1" applyBorder="1"/>
    <xf numFmtId="44" fontId="0" fillId="0" borderId="0" xfId="2" applyFont="1" applyBorder="1"/>
    <xf numFmtId="0" fontId="6" fillId="0" borderId="57" xfId="0" applyFont="1" applyBorder="1"/>
    <xf numFmtId="0" fontId="0" fillId="0" borderId="58" xfId="0" applyBorder="1"/>
    <xf numFmtId="0" fontId="17" fillId="8" borderId="59" xfId="0" applyFont="1" applyFill="1" applyBorder="1"/>
    <xf numFmtId="44" fontId="17" fillId="8" borderId="54" xfId="2" applyFont="1" applyFill="1" applyBorder="1"/>
    <xf numFmtId="0" fontId="17" fillId="8" borderId="54" xfId="0" applyFont="1" applyFill="1" applyBorder="1"/>
    <xf numFmtId="44" fontId="17" fillId="8" borderId="54" xfId="0" applyNumberFormat="1" applyFont="1" applyFill="1" applyBorder="1"/>
    <xf numFmtId="14" fontId="6" fillId="0" borderId="27" xfId="0" applyNumberFormat="1" applyFont="1" applyBorder="1"/>
    <xf numFmtId="44" fontId="0" fillId="0" borderId="27" xfId="2" applyFont="1" applyBorder="1" applyAlignment="1">
      <alignment horizontal="center"/>
    </xf>
    <xf numFmtId="0" fontId="18" fillId="9" borderId="27" xfId="0" applyFont="1" applyFill="1" applyBorder="1"/>
    <xf numFmtId="44" fontId="19" fillId="8" borderId="54" xfId="0" applyNumberFormat="1" applyFont="1" applyFill="1" applyBorder="1"/>
    <xf numFmtId="44" fontId="17" fillId="8" borderId="34" xfId="2" applyFont="1" applyFill="1" applyBorder="1"/>
    <xf numFmtId="0" fontId="17" fillId="8" borderId="60" xfId="0" applyFont="1" applyFill="1" applyBorder="1"/>
    <xf numFmtId="0" fontId="17" fillId="8" borderId="34" xfId="0" applyFont="1" applyFill="1" applyBorder="1"/>
    <xf numFmtId="0" fontId="17" fillId="8" borderId="61" xfId="0" applyFont="1" applyFill="1" applyBorder="1"/>
    <xf numFmtId="44" fontId="17" fillId="8" borderId="62" xfId="2" applyFont="1" applyFill="1" applyBorder="1"/>
    <xf numFmtId="0" fontId="0" fillId="0" borderId="52" xfId="0" applyBorder="1"/>
    <xf numFmtId="0" fontId="6" fillId="0" borderId="38" xfId="0" applyFont="1" applyBorder="1"/>
    <xf numFmtId="0" fontId="6" fillId="0" borderId="52" xfId="0" applyFont="1" applyBorder="1"/>
    <xf numFmtId="0" fontId="6" fillId="0" borderId="45" xfId="0" applyFont="1" applyBorder="1"/>
    <xf numFmtId="14" fontId="0" fillId="0" borderId="31" xfId="0" applyNumberFormat="1" applyBorder="1"/>
    <xf numFmtId="0" fontId="1" fillId="0" borderId="60" xfId="0" applyFont="1" applyBorder="1"/>
    <xf numFmtId="44" fontId="1" fillId="0" borderId="33" xfId="2" applyFont="1" applyBorder="1"/>
    <xf numFmtId="0" fontId="6" fillId="0" borderId="40" xfId="0" applyFont="1" applyBorder="1"/>
    <xf numFmtId="0" fontId="0" fillId="0" borderId="41" xfId="0" applyBorder="1"/>
    <xf numFmtId="44" fontId="0" fillId="0" borderId="53" xfId="2" applyFont="1" applyBorder="1"/>
    <xf numFmtId="0" fontId="6" fillId="0" borderId="42" xfId="0" applyFont="1" applyBorder="1"/>
    <xf numFmtId="0" fontId="4" fillId="3" borderId="37" xfId="0" applyFont="1" applyFill="1" applyBorder="1" applyProtection="1">
      <protection locked="0"/>
    </xf>
    <xf numFmtId="44" fontId="4" fillId="3" borderId="38" xfId="0" applyNumberFormat="1" applyFont="1" applyFill="1" applyBorder="1" applyProtection="1">
      <protection locked="0"/>
    </xf>
    <xf numFmtId="0" fontId="4" fillId="3" borderId="39" xfId="0" applyFont="1" applyFill="1" applyBorder="1" applyProtection="1">
      <protection locked="0"/>
    </xf>
    <xf numFmtId="44" fontId="4" fillId="3" borderId="40" xfId="0" applyNumberFormat="1" applyFont="1" applyFill="1" applyBorder="1" applyAlignment="1" applyProtection="1">
      <alignment horizontal="right"/>
      <protection locked="0"/>
    </xf>
    <xf numFmtId="44" fontId="4" fillId="7" borderId="42" xfId="0" applyNumberFormat="1" applyFont="1" applyFill="1" applyBorder="1" applyAlignment="1" applyProtection="1">
      <alignment horizontal="right"/>
      <protection locked="0"/>
    </xf>
    <xf numFmtId="44" fontId="4" fillId="3" borderId="27" xfId="0" applyNumberFormat="1" applyFont="1" applyFill="1" applyBorder="1" applyProtection="1">
      <protection locked="0"/>
    </xf>
    <xf numFmtId="44" fontId="4" fillId="3" borderId="27" xfId="0" applyNumberFormat="1" applyFont="1" applyFill="1" applyBorder="1" applyAlignment="1">
      <alignment horizontal="right"/>
    </xf>
    <xf numFmtId="44" fontId="4" fillId="7" borderId="27" xfId="0" applyNumberFormat="1" applyFont="1" applyFill="1" applyBorder="1" applyAlignment="1" applyProtection="1">
      <alignment horizontal="right"/>
      <protection locked="0"/>
    </xf>
    <xf numFmtId="44" fontId="4" fillId="3" borderId="40" xfId="0" applyNumberFormat="1" applyFont="1" applyFill="1" applyBorder="1" applyAlignment="1">
      <alignment horizontal="right"/>
    </xf>
    <xf numFmtId="44" fontId="4" fillId="3" borderId="27" xfId="0" applyNumberFormat="1" applyFont="1" applyFill="1" applyBorder="1" applyAlignment="1" applyProtection="1">
      <alignment horizontal="right"/>
      <protection locked="0"/>
    </xf>
    <xf numFmtId="0" fontId="4" fillId="3" borderId="13" xfId="0" applyFont="1" applyFill="1" applyBorder="1" applyProtection="1">
      <protection locked="0"/>
    </xf>
    <xf numFmtId="44" fontId="4" fillId="3" borderId="31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4" fontId="4" fillId="3" borderId="31" xfId="0" applyNumberFormat="1" applyFont="1" applyFill="1" applyBorder="1" applyAlignment="1">
      <alignment horizontal="right"/>
    </xf>
    <xf numFmtId="44" fontId="4" fillId="7" borderId="63" xfId="0" applyNumberFormat="1" applyFont="1" applyFill="1" applyBorder="1" applyAlignment="1" applyProtection="1">
      <alignment horizontal="right"/>
      <protection locked="0"/>
    </xf>
    <xf numFmtId="44" fontId="22" fillId="7" borderId="27" xfId="0" applyNumberFormat="1" applyFont="1" applyFill="1" applyBorder="1" applyAlignment="1" applyProtection="1">
      <alignment horizontal="right"/>
      <protection locked="0"/>
    </xf>
    <xf numFmtId="44" fontId="22" fillId="7" borderId="31" xfId="0" applyNumberFormat="1" applyFont="1" applyFill="1" applyBorder="1" applyAlignment="1" applyProtection="1">
      <alignment horizontal="right"/>
      <protection locked="0"/>
    </xf>
    <xf numFmtId="44" fontId="22" fillId="7" borderId="33" xfId="0" applyNumberFormat="1" applyFont="1" applyFill="1" applyBorder="1" applyAlignment="1" applyProtection="1">
      <alignment horizontal="right"/>
      <protection locked="0"/>
    </xf>
    <xf numFmtId="44" fontId="22" fillId="4" borderId="28" xfId="0" applyNumberFormat="1" applyFont="1" applyFill="1" applyBorder="1" applyProtection="1">
      <protection locked="0"/>
    </xf>
    <xf numFmtId="44" fontId="2" fillId="0" borderId="27" xfId="2" applyFont="1" applyBorder="1"/>
    <xf numFmtId="44" fontId="3" fillId="6" borderId="27" xfId="2" applyFont="1" applyFill="1" applyBorder="1"/>
    <xf numFmtId="0" fontId="7" fillId="4" borderId="43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44" fontId="4" fillId="0" borderId="0" xfId="0" applyNumberFormat="1" applyFont="1" applyAlignment="1" applyProtection="1">
      <alignment horizontal="left"/>
      <protection locked="0"/>
    </xf>
    <xf numFmtId="0" fontId="11" fillId="0" borderId="0" xfId="0" applyFont="1" applyAlignment="1">
      <alignment horizontal="left"/>
    </xf>
    <xf numFmtId="0" fontId="7" fillId="2" borderId="27" xfId="0" applyFont="1" applyFill="1" applyBorder="1" applyAlignment="1" applyProtection="1">
      <alignment horizontal="left"/>
      <protection locked="0"/>
    </xf>
    <xf numFmtId="0" fontId="4" fillId="3" borderId="27" xfId="0" applyFont="1" applyFill="1" applyBorder="1" applyAlignment="1" applyProtection="1">
      <alignment horizontal="left"/>
      <protection locked="0"/>
    </xf>
    <xf numFmtId="0" fontId="4" fillId="3" borderId="31" xfId="0" applyFont="1" applyFill="1" applyBorder="1" applyAlignment="1" applyProtection="1">
      <alignment horizontal="left"/>
      <protection locked="0"/>
    </xf>
    <xf numFmtId="0" fontId="7" fillId="4" borderId="60" xfId="0" applyFont="1" applyFill="1" applyBorder="1" applyAlignment="1" applyProtection="1">
      <alignment horizontal="left"/>
      <protection locked="0"/>
    </xf>
    <xf numFmtId="0" fontId="4" fillId="7" borderId="63" xfId="0" applyFont="1" applyFill="1" applyBorder="1" applyAlignment="1" applyProtection="1">
      <alignment horizontal="left"/>
      <protection locked="0"/>
    </xf>
    <xf numFmtId="0" fontId="4" fillId="7" borderId="27" xfId="0" applyFont="1" applyFill="1" applyBorder="1" applyAlignment="1" applyProtection="1">
      <alignment horizontal="left"/>
      <protection locked="0"/>
    </xf>
    <xf numFmtId="0" fontId="22" fillId="7" borderId="27" xfId="0" applyFont="1" applyFill="1" applyBorder="1" applyAlignment="1" applyProtection="1">
      <alignment horizontal="left"/>
      <protection locked="0"/>
    </xf>
    <xf numFmtId="0" fontId="22" fillId="7" borderId="31" xfId="0" applyFont="1" applyFill="1" applyBorder="1" applyAlignment="1" applyProtection="1">
      <alignment horizontal="left"/>
      <protection locked="0"/>
    </xf>
    <xf numFmtId="0" fontId="22" fillId="7" borderId="60" xfId="0" applyFont="1" applyFill="1" applyBorder="1" applyAlignment="1" applyProtection="1">
      <alignment horizontal="left"/>
      <protection locked="0"/>
    </xf>
    <xf numFmtId="0" fontId="22" fillId="4" borderId="28" xfId="0" applyFont="1" applyFill="1" applyBorder="1" applyAlignment="1" applyProtection="1">
      <alignment horizontal="left"/>
      <protection locked="0"/>
    </xf>
    <xf numFmtId="0" fontId="2" fillId="0" borderId="27" xfId="0" applyFont="1" applyBorder="1" applyAlignment="1">
      <alignment horizontal="left"/>
    </xf>
    <xf numFmtId="0" fontId="3" fillId="6" borderId="27" xfId="0" applyFont="1" applyFill="1" applyBorder="1" applyAlignment="1">
      <alignment horizontal="left"/>
    </xf>
    <xf numFmtId="44" fontId="22" fillId="4" borderId="29" xfId="0" applyNumberFormat="1" applyFont="1" applyFill="1" applyBorder="1" applyProtection="1">
      <protection locked="0"/>
    </xf>
    <xf numFmtId="0" fontId="4" fillId="0" borderId="0" xfId="0" applyFont="1"/>
    <xf numFmtId="44" fontId="22" fillId="4" borderId="27" xfId="0" applyNumberFormat="1" applyFont="1" applyFill="1" applyBorder="1" applyAlignment="1" applyProtection="1">
      <alignment vertical="top"/>
      <protection locked="0"/>
    </xf>
    <xf numFmtId="44" fontId="23" fillId="0" borderId="27" xfId="0" applyNumberFormat="1" applyFont="1" applyBorder="1" applyAlignment="1" applyProtection="1">
      <alignment vertical="top"/>
      <protection locked="0"/>
    </xf>
    <xf numFmtId="8" fontId="23" fillId="0" borderId="27" xfId="0" applyNumberFormat="1" applyFont="1" applyBorder="1" applyAlignment="1" applyProtection="1">
      <alignment vertical="top"/>
      <protection locked="0"/>
    </xf>
    <xf numFmtId="44" fontId="23" fillId="0" borderId="27" xfId="0" applyNumberFormat="1" applyFont="1" applyBorder="1" applyAlignment="1" applyProtection="1">
      <alignment horizontal="left" vertical="center"/>
      <protection locked="0"/>
    </xf>
    <xf numFmtId="44" fontId="4" fillId="0" borderId="0" xfId="0" applyNumberFormat="1" applyFont="1"/>
    <xf numFmtId="0" fontId="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8" fontId="25" fillId="0" borderId="0" xfId="0" applyNumberFormat="1" applyFont="1"/>
    <xf numFmtId="8" fontId="4" fillId="0" borderId="27" xfId="0" applyNumberFormat="1" applyFont="1" applyBorder="1"/>
    <xf numFmtId="8" fontId="4" fillId="0" borderId="0" xfId="0" applyNumberFormat="1" applyFont="1"/>
    <xf numFmtId="0" fontId="26" fillId="0" borderId="0" xfId="0" applyFont="1" applyAlignment="1">
      <alignment horizontal="left"/>
    </xf>
    <xf numFmtId="0" fontId="23" fillId="0" borderId="27" xfId="0" applyFont="1" applyBorder="1" applyAlignment="1">
      <alignment horizontal="left"/>
    </xf>
    <xf numFmtId="44" fontId="23" fillId="0" borderId="27" xfId="2" applyFont="1" applyBorder="1"/>
    <xf numFmtId="0" fontId="22" fillId="6" borderId="27" xfId="0" applyFont="1" applyFill="1" applyBorder="1" applyAlignment="1">
      <alignment horizontal="left"/>
    </xf>
    <xf numFmtId="44" fontId="22" fillId="6" borderId="27" xfId="2" applyFont="1" applyFill="1" applyBorder="1"/>
    <xf numFmtId="8" fontId="23" fillId="0" borderId="0" xfId="0" applyNumberFormat="1" applyFont="1" applyProtection="1">
      <protection locked="0"/>
    </xf>
    <xf numFmtId="0" fontId="27" fillId="0" borderId="0" xfId="0" applyFont="1" applyAlignment="1">
      <alignment horizontal="left" vertical="center" wrapText="1"/>
    </xf>
    <xf numFmtId="0" fontId="4" fillId="0" borderId="27" xfId="0" applyFont="1" applyBorder="1"/>
    <xf numFmtId="44" fontId="23" fillId="0" borderId="45" xfId="0" applyNumberFormat="1" applyFont="1" applyBorder="1" applyAlignment="1" applyProtection="1">
      <alignment horizontal="left" vertical="center"/>
      <protection locked="0"/>
    </xf>
    <xf numFmtId="10" fontId="7" fillId="4" borderId="29" xfId="3" applyNumberFormat="1" applyFont="1" applyFill="1" applyBorder="1" applyProtection="1">
      <protection locked="0"/>
    </xf>
    <xf numFmtId="44" fontId="22" fillId="6" borderId="27" xfId="4" applyFont="1" applyFill="1" applyBorder="1"/>
    <xf numFmtId="44" fontId="23" fillId="0" borderId="27" xfId="4" applyFont="1" applyBorder="1"/>
    <xf numFmtId="44" fontId="7" fillId="2" borderId="27" xfId="4" applyFont="1" applyFill="1" applyBorder="1" applyAlignment="1" applyProtection="1">
      <protection locked="0"/>
    </xf>
    <xf numFmtId="10" fontId="4" fillId="0" borderId="0" xfId="0" applyNumberFormat="1" applyFont="1"/>
    <xf numFmtId="0" fontId="0" fillId="0" borderId="45" xfId="0" applyBorder="1"/>
    <xf numFmtId="0" fontId="0" fillId="0" borderId="45" xfId="0" applyFill="1" applyBorder="1"/>
    <xf numFmtId="0" fontId="7" fillId="4" borderId="46" xfId="0" applyFont="1" applyFill="1" applyBorder="1" applyAlignment="1" applyProtection="1">
      <alignment horizontal="center"/>
      <protection locked="0"/>
    </xf>
    <xf numFmtId="0" fontId="7" fillId="4" borderId="47" xfId="0" applyFont="1" applyFill="1" applyBorder="1" applyAlignment="1" applyProtection="1">
      <alignment horizontal="center"/>
      <protection locked="0"/>
    </xf>
    <xf numFmtId="0" fontId="7" fillId="4" borderId="48" xfId="0" applyFont="1" applyFill="1" applyBorder="1" applyAlignment="1" applyProtection="1">
      <alignment horizontal="center"/>
      <protection locked="0"/>
    </xf>
    <xf numFmtId="0" fontId="7" fillId="4" borderId="49" xfId="0" applyFont="1" applyFill="1" applyBorder="1" applyAlignment="1" applyProtection="1">
      <alignment horizontal="center"/>
      <protection locked="0"/>
    </xf>
  </cellXfs>
  <cellStyles count="5">
    <cellStyle name="Currency" xfId="2" builtinId="4"/>
    <cellStyle name="Currency 2" xfId="4" xr:uid="{E1C2BBA5-DCE2-4F9F-A29C-29E3DD29F410}"/>
    <cellStyle name="Hyperlink" xfId="1" builtinId="8"/>
    <cellStyle name="Normal" xfId="0" builtinId="0"/>
    <cellStyle name="Percent" xfId="3" builtinId="5"/>
  </cellStyles>
  <dxfs count="301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00"/>
      <tableStyleElement type="headerRow" dxfId="29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9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theme" Target="theme/theme1.xml"/><Relationship Id="rId98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90905F-6399-4EEF-9F30-3156F698D28F}" name="Table13" displayName="Table13" ref="A1:M25" totalsRowShown="0" headerRowDxfId="55" tableBorderDxfId="54">
  <autoFilter ref="A1:M25" xr:uid="{00000000-0009-0000-0100-000001000000}"/>
  <sortState xmlns:xlrd2="http://schemas.microsoft.com/office/spreadsheetml/2017/richdata2" ref="A2:M25">
    <sortCondition ref="A1:A25"/>
  </sortState>
  <tableColumns count="13">
    <tableColumn id="1" xr3:uid="{BD9E9989-11BD-456E-ABC4-B952B3779140}" name="Date" dataDxfId="53"/>
    <tableColumn id="2" xr3:uid="{EF735934-9849-459D-B0A0-A90E9EAFF659}" name="Item" dataDxfId="52"/>
    <tableColumn id="3" xr3:uid="{85E68399-91E2-4FC5-A44D-49282F503F33}" name="Money In" dataDxfId="51" dataCellStyle="Currency"/>
    <tableColumn id="11" xr3:uid="{FB88E810-88FE-4341-8DF1-DC19663A6E0F}" name="Fee" dataDxfId="50" dataCellStyle="Currency"/>
    <tableColumn id="4" xr3:uid="{AA00CC65-91CE-4373-9833-F10A722B9E3C}" name="Postage" dataDxfId="49" dataCellStyle="Currency"/>
    <tableColumn id="13" xr3:uid="{A5DA0C37-66FB-4C55-AD0D-DA7671CB5ED1}" name="Payout" dataDxfId="48" dataCellStyle="Currency">
      <calculatedColumnFormula>Table13[[#This Row],[Money In]]-Table13[[#This Row],[Fee]]</calculatedColumnFormula>
    </tableColumn>
    <tableColumn id="5" xr3:uid="{15BC0F0A-D440-4C24-B656-10B1EB884E96}" name="Total" dataDxfId="47">
      <calculatedColumnFormula>C2-E2-Table13[[#This Row],[Fee]]</calculatedColumnFormula>
    </tableColumn>
    <tableColumn id="6" xr3:uid="{D29FD4A2-BAFC-4A3C-99EE-3D4D9D9768A4}" name="Link" dataDxfId="46"/>
    <tableColumn id="7" xr3:uid="{63A9A48E-75F5-49F6-9CE4-22D4391071D4}" name="Postage Quoted" dataDxfId="45" dataCellStyle="Currency"/>
    <tableColumn id="8" xr3:uid="{43CCF455-B3A1-4861-8F89-BEE6F29ABEE0}" name="Postage Profit" dataDxfId="44">
      <calculatedColumnFormula>Table13[[#This Row],[Postage Quoted]]-Table13[[#This Row],[Postage]]</calculatedColumnFormula>
    </tableColumn>
    <tableColumn id="9" xr3:uid="{5CDDF90F-832A-4BDB-BAD6-1CC034E303AD}" name="Postage Paid" dataDxfId="43"/>
    <tableColumn id="10" xr3:uid="{27EB1996-E669-48F1-9991-7C46168AC4D8}" name="Payed Out" dataDxfId="42"/>
    <tableColumn id="12" xr3:uid="{85B2F4B0-89FC-46AA-A01A-CC325D5DE992}" name="Column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23" totalsRowShown="0" headerRowDxfId="41" tableBorderDxfId="40">
  <autoFilter ref="A1:M123" xr:uid="{00000000-0009-0000-0100-000001000000}"/>
  <sortState xmlns:xlrd2="http://schemas.microsoft.com/office/spreadsheetml/2017/richdata2" ref="A2:M123">
    <sortCondition ref="A1:A123"/>
  </sortState>
  <tableColumns count="13">
    <tableColumn id="1" xr3:uid="{00000000-0010-0000-0000-000001000000}" name="Date" dataDxfId="39"/>
    <tableColumn id="2" xr3:uid="{00000000-0010-0000-0000-000002000000}" name="Item" dataDxfId="38"/>
    <tableColumn id="3" xr3:uid="{00000000-0010-0000-0000-000003000000}" name="Money In" dataDxfId="37" dataCellStyle="Currency"/>
    <tableColumn id="11" xr3:uid="{00000000-0010-0000-0000-00000B000000}" name="Fee" dataDxfId="36" dataCellStyle="Currency"/>
    <tableColumn id="4" xr3:uid="{00000000-0010-0000-0000-000004000000}" name="Postage" dataDxfId="35" dataCellStyle="Currency"/>
    <tableColumn id="13" xr3:uid="{00000000-0010-0000-0000-00000D000000}" name="Payout" dataDxfId="34" dataCellStyle="Currency">
      <calculatedColumnFormula>Table1[[#This Row],[Money In]]-Table1[[#This Row],[Fee]]</calculatedColumnFormula>
    </tableColumn>
    <tableColumn id="5" xr3:uid="{00000000-0010-0000-0000-000005000000}" name="Total" dataDxfId="33">
      <calculatedColumnFormula>C2-E2-Table1[[#This Row],[Fee]]</calculatedColumnFormula>
    </tableColumn>
    <tableColumn id="6" xr3:uid="{00000000-0010-0000-0000-000006000000}" name="Link" dataDxfId="32"/>
    <tableColumn id="7" xr3:uid="{00000000-0010-0000-0000-000007000000}" name="Postage Quoted" dataDxfId="31" dataCellStyle="Currency"/>
    <tableColumn id="8" xr3:uid="{00000000-0010-0000-0000-000008000000}" name="Postage Profit" dataDxfId="30">
      <calculatedColumnFormula>Table1[[#This Row],[Postage Quoted]]-Table1[[#This Row],[Postage]]</calculatedColumnFormula>
    </tableColumn>
    <tableColumn id="9" xr3:uid="{00000000-0010-0000-0000-000009000000}" name="Postage Paid" dataDxfId="29"/>
    <tableColumn id="10" xr3:uid="{00000000-0010-0000-0000-00000A000000}" name="Payed Out" dataDxfId="28"/>
    <tableColumn id="12" xr3:uid="{00000000-0010-0000-0000-00000C000000}" name="Column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bay.co.uk/mesh/ord/details?orderid=21-10333-49006&amp;redirect=true" TargetMode="External"/><Relationship Id="rId21" Type="http://schemas.openxmlformats.org/officeDocument/2006/relationships/hyperlink" Target="https://www.ebay.co.uk/mesh/ord/details?orderid=18-10326-80117&amp;redirect=true" TargetMode="External"/><Relationship Id="rId42" Type="http://schemas.openxmlformats.org/officeDocument/2006/relationships/hyperlink" Target="https://www.ebay.co.uk/mesh/ord/details?orderid=15-10347-14153&amp;redirect=true" TargetMode="External"/><Relationship Id="rId47" Type="http://schemas.openxmlformats.org/officeDocument/2006/relationships/hyperlink" Target="https://www.ebay.co.uk/mesh/ord/details?orderid=24-10358-94554&amp;redirect=true" TargetMode="External"/><Relationship Id="rId63" Type="http://schemas.openxmlformats.org/officeDocument/2006/relationships/hyperlink" Target="https://www.ebay.co.uk/mesh/ord/details?orderid=06-10368-88093&amp;mode=ME" TargetMode="External"/><Relationship Id="rId68" Type="http://schemas.openxmlformats.org/officeDocument/2006/relationships/hyperlink" Target="https://www.ebay.co.uk/mesh/ord/details?orderid=21-10367-06577" TargetMode="External"/><Relationship Id="rId84" Type="http://schemas.openxmlformats.org/officeDocument/2006/relationships/hyperlink" Target="https://www.ebay.co.uk/mesh/ord/details?orderid=18-10378-21144&amp;mode=ME" TargetMode="External"/><Relationship Id="rId89" Type="http://schemas.openxmlformats.org/officeDocument/2006/relationships/hyperlink" Target="https://www.ebay.co.uk/mesh/ord/details?itemid=305050231419&amp;transid=0" TargetMode="External"/><Relationship Id="rId16" Type="http://schemas.openxmlformats.org/officeDocument/2006/relationships/hyperlink" Target="https://www.ebay.co.uk/mesh/ord/details?orderid=27-10320-19931&amp;redirect=true" TargetMode="External"/><Relationship Id="rId107" Type="http://schemas.openxmlformats.org/officeDocument/2006/relationships/hyperlink" Target="https://www.ebay.co.uk/mesh/ord/details?orderid=11-10470-33456&amp;mode=ME" TargetMode="External"/><Relationship Id="rId11" Type="http://schemas.openxmlformats.org/officeDocument/2006/relationships/hyperlink" Target="https://www.ebay.co.uk/mesh/ord/details?orderid=07-10329-85542&amp;redirect=true" TargetMode="External"/><Relationship Id="rId32" Type="http://schemas.openxmlformats.org/officeDocument/2006/relationships/hyperlink" Target="https://www.ebay.co.uk/mesh/ord/details?orderid=04-10346-46897&amp;redirect=true" TargetMode="External"/><Relationship Id="rId37" Type="http://schemas.openxmlformats.org/officeDocument/2006/relationships/hyperlink" Target="https://www.ebay.co.uk/mesh/ord/details?orderid=12-10342-55854&amp;redirect=true" TargetMode="External"/><Relationship Id="rId53" Type="http://schemas.openxmlformats.org/officeDocument/2006/relationships/hyperlink" Target="https://www.ebay.co.uk/mesh/ord/details?orderid=17-10350-26287&amp;redirect=true" TargetMode="External"/><Relationship Id="rId58" Type="http://schemas.openxmlformats.org/officeDocument/2006/relationships/hyperlink" Target="https://www.ebay.co.uk/mesh/ord/details?orderid=13-10302-89189&amp;redirect=true" TargetMode="External"/><Relationship Id="rId74" Type="http://schemas.openxmlformats.org/officeDocument/2006/relationships/hyperlink" Target="https://www.ebay.co.uk/mesh/ord/details?itemid=305047421494&amp;transid=0&amp;redirect=true" TargetMode="External"/><Relationship Id="rId79" Type="http://schemas.openxmlformats.org/officeDocument/2006/relationships/hyperlink" Target="https://www.ebay.co.uk/mesh/ord/details?orderid=21-10373-09809&amp;mode=ME" TargetMode="External"/><Relationship Id="rId102" Type="http://schemas.openxmlformats.org/officeDocument/2006/relationships/hyperlink" Target="https://www.ebay.co.uk/mesh/ord/details?orderid=18-10437-86870&amp;mode=ME" TargetMode="External"/><Relationship Id="rId5" Type="http://schemas.openxmlformats.org/officeDocument/2006/relationships/hyperlink" Target="https://www.ebay.co.uk/mesh/ord/details?orderid=17-10313-99158&amp;redirect=true" TargetMode="External"/><Relationship Id="rId90" Type="http://schemas.openxmlformats.org/officeDocument/2006/relationships/hyperlink" Target="https://www.ebay.co.uk/mesh/ord/details?itemid=305050564219&amp;transid=0" TargetMode="External"/><Relationship Id="rId95" Type="http://schemas.openxmlformats.org/officeDocument/2006/relationships/hyperlink" Target="https://www.ebay.co.uk/mesh/ord/details?orderid=13-10396-72314&amp;mode=ME" TargetMode="External"/><Relationship Id="rId22" Type="http://schemas.openxmlformats.org/officeDocument/2006/relationships/hyperlink" Target="https://www.ebay.co.uk/mesh/ord/details?orderid=20-10325-73330&amp;redirect=true" TargetMode="External"/><Relationship Id="rId27" Type="http://schemas.openxmlformats.org/officeDocument/2006/relationships/hyperlink" Target="https://www.ebay.co.uk/mesh/ord/details?orderid=01-10344-04995&amp;redirect=true" TargetMode="External"/><Relationship Id="rId43" Type="http://schemas.openxmlformats.org/officeDocument/2006/relationships/hyperlink" Target="https://www.ebay.co.uk/mesh/ord/details?orderid=23-10344-68034&amp;redirect=true" TargetMode="External"/><Relationship Id="rId48" Type="http://schemas.openxmlformats.org/officeDocument/2006/relationships/hyperlink" Target="https://www.ebay.co.uk/mesh/ord/details?orderid=26-10343-38470&amp;redirect=true" TargetMode="External"/><Relationship Id="rId64" Type="http://schemas.openxmlformats.org/officeDocument/2006/relationships/hyperlink" Target="https://www.ebay.co.uk/mesh/ord/details?orderid=24-10378-98924&amp;redirect=true" TargetMode="External"/><Relationship Id="rId69" Type="http://schemas.openxmlformats.org/officeDocument/2006/relationships/hyperlink" Target="https://www.ebay.co.uk/mesh/ord/details?orderid=25-10365-17707&amp;mode=ME" TargetMode="External"/><Relationship Id="rId80" Type="http://schemas.openxmlformats.org/officeDocument/2006/relationships/hyperlink" Target="https://www.ebay.co.uk/mesh/ord/details?orderid=13-10377-76539&amp;mode=ME" TargetMode="External"/><Relationship Id="rId85" Type="http://schemas.openxmlformats.org/officeDocument/2006/relationships/hyperlink" Target="https://www.ebay.co.uk/mesh/ord/details?orderid=22-10376-26751&amp;mode=ME" TargetMode="External"/><Relationship Id="rId12" Type="http://schemas.openxmlformats.org/officeDocument/2006/relationships/hyperlink" Target="https://www.ebay.co.uk/mesh/ord/details?orderid=23-10321-36932&amp;redirect=true" TargetMode="External"/><Relationship Id="rId17" Type="http://schemas.openxmlformats.org/officeDocument/2006/relationships/hyperlink" Target="https://www.ebay.co.uk/mesh/ord/details?orderid=09-10329-58582&amp;redirect=true" TargetMode="External"/><Relationship Id="rId33" Type="http://schemas.openxmlformats.org/officeDocument/2006/relationships/hyperlink" Target="https://www.ebay.co.uk/mesh/ord/details?orderid=21-10337-29741&amp;redirect=true" TargetMode="External"/><Relationship Id="rId38" Type="http://schemas.openxmlformats.org/officeDocument/2006/relationships/hyperlink" Target="https://www.ebay.co.uk/mesh/ord/details?orderid=13-10342-77004&amp;redirect=true" TargetMode="External"/><Relationship Id="rId59" Type="http://schemas.openxmlformats.org/officeDocument/2006/relationships/hyperlink" Target="https://www.ebay.co.uk/mesh/ord/details?orderid=14-10357-70928&amp;mode=ME" TargetMode="External"/><Relationship Id="rId103" Type="http://schemas.openxmlformats.org/officeDocument/2006/relationships/hyperlink" Target="https://www.ebay.co.uk/mesh/ord/details?orderid=07-10444-05903&amp;mode=ME" TargetMode="External"/><Relationship Id="rId108" Type="http://schemas.openxmlformats.org/officeDocument/2006/relationships/hyperlink" Target="https://www.ebay.co.uk/mesh/ord/details?orderid=26-10478-76926&amp;mode=ME" TargetMode="External"/><Relationship Id="rId54" Type="http://schemas.openxmlformats.org/officeDocument/2006/relationships/hyperlink" Target="https://www.ebay.co.uk/mesh/ord/details?orderid=01-10359-09613&amp;redirect=true" TargetMode="External"/><Relationship Id="rId70" Type="http://schemas.openxmlformats.org/officeDocument/2006/relationships/hyperlink" Target="https://www.ebay.co.uk/mesh/ord/details?orderid=26-10366-17601&amp;mode=ME" TargetMode="External"/><Relationship Id="rId75" Type="http://schemas.openxmlformats.org/officeDocument/2006/relationships/hyperlink" Target="https://www.ebay.co.uk/mesh/ord/details?orderid=305047429673-0&amp;mode=ME" TargetMode="External"/><Relationship Id="rId91" Type="http://schemas.openxmlformats.org/officeDocument/2006/relationships/hyperlink" Target="https://www.ebay.co.uk/mesh/ord/details?itemid=305058520781&amp;transid=0" TargetMode="External"/><Relationship Id="rId96" Type="http://schemas.openxmlformats.org/officeDocument/2006/relationships/hyperlink" Target="https://www.ebay.co.uk/mesh/ord/details?orderid=01-10405-73689&amp;redirect=true" TargetMode="External"/><Relationship Id="rId1" Type="http://schemas.openxmlformats.org/officeDocument/2006/relationships/hyperlink" Target="https://www.ebay.co.uk/mesh/ord/details?orderid=22-10295-91696&amp;redirect=true" TargetMode="External"/><Relationship Id="rId6" Type="http://schemas.openxmlformats.org/officeDocument/2006/relationships/hyperlink" Target="https://www.ebay.co.uk/mesh/ord/details?orderid=07-10319-66510&amp;redirect=true" TargetMode="External"/><Relationship Id="rId15" Type="http://schemas.openxmlformats.org/officeDocument/2006/relationships/hyperlink" Target="https://www.ebay.co.uk/mesh/ord/details?orderid=26-10320-27912&amp;redirect=true" TargetMode="External"/><Relationship Id="rId23" Type="http://schemas.openxmlformats.org/officeDocument/2006/relationships/hyperlink" Target="https://www.ebay.co.uk/mesh/ord/details?orderid=21-10326-03223&amp;redirect=true" TargetMode="External"/><Relationship Id="rId28" Type="http://schemas.openxmlformats.org/officeDocument/2006/relationships/hyperlink" Target="https://www.ebay.co.uk/mesh/ord/details?orderid=24-10346-79985&amp;redirect=true" TargetMode="External"/><Relationship Id="rId36" Type="http://schemas.openxmlformats.org/officeDocument/2006/relationships/hyperlink" Target="https://www.ebay.co.uk/mesh/ord/details?orderid=04-10346-70850&amp;redirect=true" TargetMode="External"/><Relationship Id="rId49" Type="http://schemas.openxmlformats.org/officeDocument/2006/relationships/hyperlink" Target="https://www.ebay.co.uk/mesh/ord/details?orderid=23-10345-13158&amp;redirect=true" TargetMode="External"/><Relationship Id="rId57" Type="http://schemas.openxmlformats.org/officeDocument/2006/relationships/hyperlink" Target="https://www.ebay.co.uk/mesh/ord/details?orderid=15-10354-46618&amp;redirect=true" TargetMode="External"/><Relationship Id="rId106" Type="http://schemas.openxmlformats.org/officeDocument/2006/relationships/hyperlink" Target="https://www.ebay.co.uk/mesh/ord/details?orderid=04-10473-52845&amp;mode=ME" TargetMode="External"/><Relationship Id="rId10" Type="http://schemas.openxmlformats.org/officeDocument/2006/relationships/hyperlink" Target="https://www.ebay.co.uk/mesh/ord/details?orderid=26-10316-26662&amp;redirect=true" TargetMode="External"/><Relationship Id="rId31" Type="http://schemas.openxmlformats.org/officeDocument/2006/relationships/hyperlink" Target="https://www.ebay.co.uk/mesh/ord/details?orderid=16-10339-79168&amp;redirect=true" TargetMode="External"/><Relationship Id="rId44" Type="http://schemas.openxmlformats.org/officeDocument/2006/relationships/hyperlink" Target="https://www.ebay.co.uk/mesh/ord/details?orderid=19-10346-90748&amp;redirect=true" TargetMode="External"/><Relationship Id="rId52" Type="http://schemas.openxmlformats.org/officeDocument/2006/relationships/hyperlink" Target="https://www.ebay.co.uk/mesh/ord/details?orderid=20-10348-59254&amp;redirect=true" TargetMode="External"/><Relationship Id="rId60" Type="http://schemas.openxmlformats.org/officeDocument/2006/relationships/hyperlink" Target="https://www.ebay.co.uk/mesh/ord/details?orderid=09-10361-10183&amp;mode=ME" TargetMode="External"/><Relationship Id="rId65" Type="http://schemas.openxmlformats.org/officeDocument/2006/relationships/hyperlink" Target="https://www.ebay.co.uk/mesh/ord/details?orderid=21-10366-21724&amp;redirect=true" TargetMode="External"/><Relationship Id="rId73" Type="http://schemas.openxmlformats.org/officeDocument/2006/relationships/hyperlink" Target="https://www.ebay.co.uk/mesh/ord/details?orderid=10-10374-93517&amp;mode=ME" TargetMode="External"/><Relationship Id="rId78" Type="http://schemas.openxmlformats.org/officeDocument/2006/relationships/hyperlink" Target="https://www.ebay.co.uk/mesh/ord/details?orderid=11-10378-38869&amp;mode=ME" TargetMode="External"/><Relationship Id="rId81" Type="http://schemas.openxmlformats.org/officeDocument/2006/relationships/hyperlink" Target="https://www.ebay.co.uk/mesh/ord/details?orderid=01-10384-26372&amp;mode=ME" TargetMode="External"/><Relationship Id="rId86" Type="http://schemas.openxmlformats.org/officeDocument/2006/relationships/hyperlink" Target="https://www.ebay.co.uk/mesh/ord/details?orderid=02-10387-25181&amp;mode=ME" TargetMode="External"/><Relationship Id="rId94" Type="http://schemas.openxmlformats.org/officeDocument/2006/relationships/hyperlink" Target="https://www.ebay.co.uk/mesh/ord/details?orderid=03-10388-88205&amp;mode=ME" TargetMode="External"/><Relationship Id="rId99" Type="http://schemas.openxmlformats.org/officeDocument/2006/relationships/hyperlink" Target="https://www.ebay.co.uk/mesh/ord/details?orderid=11-10428-70357&amp;mode=ME" TargetMode="External"/><Relationship Id="rId101" Type="http://schemas.openxmlformats.org/officeDocument/2006/relationships/hyperlink" Target="https://www.ebay.co.uk/mesh/ord/details?orderid=05-10440-49185&amp;mode=ME" TargetMode="External"/><Relationship Id="rId4" Type="http://schemas.openxmlformats.org/officeDocument/2006/relationships/hyperlink" Target="https://www.ebay.co.uk/mesh/ord/details?orderid=14-10314-34577&amp;redirect=true" TargetMode="External"/><Relationship Id="rId9" Type="http://schemas.openxmlformats.org/officeDocument/2006/relationships/hyperlink" Target="https://www.ebay.co.uk/mesh/ord/details?orderid=18-10320-50038&amp;redirect=true" TargetMode="External"/><Relationship Id="rId13" Type="http://schemas.openxmlformats.org/officeDocument/2006/relationships/hyperlink" Target="https://www.ebay.co.uk/mesh/ord/details?orderid=03-10331-90184&amp;redirect=true" TargetMode="External"/><Relationship Id="rId18" Type="http://schemas.openxmlformats.org/officeDocument/2006/relationships/hyperlink" Target="https://www.ebay.co.uk/mesh/ord/details?orderid=21-10323-35641&amp;redirect=true" TargetMode="External"/><Relationship Id="rId39" Type="http://schemas.openxmlformats.org/officeDocument/2006/relationships/hyperlink" Target="https://www.ebay.co.uk/mesh/ord/details?orderid=15-10342-21810&amp;redirect=true" TargetMode="External"/><Relationship Id="rId109" Type="http://schemas.openxmlformats.org/officeDocument/2006/relationships/printerSettings" Target="../printerSettings/printerSettings58.bin"/><Relationship Id="rId34" Type="http://schemas.openxmlformats.org/officeDocument/2006/relationships/hyperlink" Target="https://www.ebay.co.uk/mesh/ord/details?orderid=13-10341-86716&amp;redirect=true" TargetMode="External"/><Relationship Id="rId50" Type="http://schemas.openxmlformats.org/officeDocument/2006/relationships/hyperlink" Target="https://www.ebay.co.uk/mesh/ord/details?orderid=27-10343-40872&amp;redirect=true" TargetMode="External"/><Relationship Id="rId55" Type="http://schemas.openxmlformats.org/officeDocument/2006/relationships/hyperlink" Target="https://www.ebay.co.uk/mesh/ord/details?orderid=25-10346-72179&amp;redirect=true" TargetMode="External"/><Relationship Id="rId76" Type="http://schemas.openxmlformats.org/officeDocument/2006/relationships/hyperlink" Target="https://www.ebay.co.uk/mesh/ord/details?orderid=24-10383-14827&amp;mode=ME" TargetMode="External"/><Relationship Id="rId97" Type="http://schemas.openxmlformats.org/officeDocument/2006/relationships/hyperlink" Target="https://www.ebay.co.uk/mesh/ord/details?orderid=10-10403-76719&amp;mode=ME" TargetMode="External"/><Relationship Id="rId104" Type="http://schemas.openxmlformats.org/officeDocument/2006/relationships/hyperlink" Target="https://www.ebay.co.uk/mesh/ord/details?orderid=22-10436-12870&amp;mode=ME" TargetMode="External"/><Relationship Id="rId7" Type="http://schemas.openxmlformats.org/officeDocument/2006/relationships/hyperlink" Target="https://www.ebay.co.uk/mesh/ord/details?orderid=20-10315-62292&amp;redirect=true" TargetMode="External"/><Relationship Id="rId71" Type="http://schemas.openxmlformats.org/officeDocument/2006/relationships/hyperlink" Target="https://www.ebay.co.uk/mesh/ord/details?orderid=18-10370-67330&amp;mode=ME" TargetMode="External"/><Relationship Id="rId92" Type="http://schemas.openxmlformats.org/officeDocument/2006/relationships/hyperlink" Target="https://www.ebay.co.uk/mesh/ord/details?orderid=26-10376-78343&amp;mode=ME" TargetMode="External"/><Relationship Id="rId2" Type="http://schemas.openxmlformats.org/officeDocument/2006/relationships/hyperlink" Target="https://www.ebay.co.uk/mesh/ord/details?orderid=06-10310-46749&amp;redirect=true" TargetMode="External"/><Relationship Id="rId29" Type="http://schemas.openxmlformats.org/officeDocument/2006/relationships/hyperlink" Target="https://www.ebay.co.uk/mesh/ord/details?orderid=27-10330-99713&amp;redirect=true" TargetMode="External"/><Relationship Id="rId24" Type="http://schemas.openxmlformats.org/officeDocument/2006/relationships/hyperlink" Target="https://www.ebay.co.uk/mesh/ord/details?orderid=25-10329-62668&amp;redirect=true" TargetMode="External"/><Relationship Id="rId40" Type="http://schemas.openxmlformats.org/officeDocument/2006/relationships/hyperlink" Target="https://www.ebay.co.uk/mesh/ord/details?orderid=18-10341-04526&amp;redirect=true" TargetMode="External"/><Relationship Id="rId45" Type="http://schemas.openxmlformats.org/officeDocument/2006/relationships/hyperlink" Target="https://www.ebay.co.uk/mesh/ord/details?orderid=24-10358-88599&amp;redirect=true" TargetMode="External"/><Relationship Id="rId66" Type="http://schemas.openxmlformats.org/officeDocument/2006/relationships/hyperlink" Target="https://www.ebay.co.uk/mesh/ord/details?orderid=13-10370-85891&amp;redirect=true" TargetMode="External"/><Relationship Id="rId87" Type="http://schemas.openxmlformats.org/officeDocument/2006/relationships/hyperlink" Target="https://www.ebay.co.uk/mesh/ord/details?orderid=11-10382-14870&amp;redirect=true" TargetMode="External"/><Relationship Id="rId110" Type="http://schemas.openxmlformats.org/officeDocument/2006/relationships/table" Target="../tables/table2.xml"/><Relationship Id="rId61" Type="http://schemas.openxmlformats.org/officeDocument/2006/relationships/hyperlink" Target="https://www.ebay.co.uk/mesh/ord/details?orderid=26-10358-13751&amp;mode=ME" TargetMode="External"/><Relationship Id="rId82" Type="http://schemas.openxmlformats.org/officeDocument/2006/relationships/hyperlink" Target="https://www.ebay.co.uk/mesh/ord/details?orderid=15-10376-39667&amp;mode=ME" TargetMode="External"/><Relationship Id="rId19" Type="http://schemas.openxmlformats.org/officeDocument/2006/relationships/hyperlink" Target="https://www.ebay.co.uk/mesh/ord/details?orderid=10-10329-41212&amp;redirect=true" TargetMode="External"/><Relationship Id="rId14" Type="http://schemas.openxmlformats.org/officeDocument/2006/relationships/hyperlink" Target="https://www.ebay.co.uk/mesh/ord/details?orderid=04-10331-67811&amp;redirect=true" TargetMode="External"/><Relationship Id="rId30" Type="http://schemas.openxmlformats.org/officeDocument/2006/relationships/hyperlink" Target="https://www.ebay.co.uk/mesh/ord/details?orderid=02-10346-16409&amp;redirect=true" TargetMode="External"/><Relationship Id="rId35" Type="http://schemas.openxmlformats.org/officeDocument/2006/relationships/hyperlink" Target="https://www.ebay.co.uk/mesh/ord/details?orderid=02-10347-82962&amp;redirect=true" TargetMode="External"/><Relationship Id="rId56" Type="http://schemas.openxmlformats.org/officeDocument/2006/relationships/hyperlink" Target="https://www.ebay.co.uk/mesh/ord/details?orderid=18-10351-55277&amp;redirect=true" TargetMode="External"/><Relationship Id="rId77" Type="http://schemas.openxmlformats.org/officeDocument/2006/relationships/hyperlink" Target="https://www.ebay.co.uk/mesh/ord/details?orderid=19-10373-92019&amp;mode=ME" TargetMode="External"/><Relationship Id="rId100" Type="http://schemas.openxmlformats.org/officeDocument/2006/relationships/hyperlink" Target="https://www.ebay.co.uk/mesh/ord/details?orderid=24-10440-52050&amp;mode=ME" TargetMode="External"/><Relationship Id="rId105" Type="http://schemas.openxmlformats.org/officeDocument/2006/relationships/hyperlink" Target="https://www.ebay.co.uk/mesh/ord/details?orderid=15-10467-42059&amp;mode=ME" TargetMode="External"/><Relationship Id="rId8" Type="http://schemas.openxmlformats.org/officeDocument/2006/relationships/hyperlink" Target="https://www.ebay.co.uk/mesh/ord/details?orderid=16-10321-03220&amp;redirect=true" TargetMode="External"/><Relationship Id="rId51" Type="http://schemas.openxmlformats.org/officeDocument/2006/relationships/hyperlink" Target="https://www.ebay.co.uk/mesh/ord/details?itemid=305038338553&amp;transid=0" TargetMode="External"/><Relationship Id="rId72" Type="http://schemas.openxmlformats.org/officeDocument/2006/relationships/hyperlink" Target="https://www.ebay.co.uk/mesh/ord/details?orderid=11-10374-22307&amp;mode=ME" TargetMode="External"/><Relationship Id="rId93" Type="http://schemas.openxmlformats.org/officeDocument/2006/relationships/hyperlink" Target="https://www.ebay.co.uk/mesh/ord/details?orderid=19-10380-50802&amp;mode=ME" TargetMode="External"/><Relationship Id="rId98" Type="http://schemas.openxmlformats.org/officeDocument/2006/relationships/hyperlink" Target="https://www.ebay.co.uk/mesh/ord/details?orderid=09-10409-39486&amp;mode=ME" TargetMode="External"/><Relationship Id="rId3" Type="http://schemas.openxmlformats.org/officeDocument/2006/relationships/hyperlink" Target="https://www.ebay.co.uk/mesh/ord/details?orderid=08-10311-98879&amp;redirect=true" TargetMode="External"/><Relationship Id="rId25" Type="http://schemas.openxmlformats.org/officeDocument/2006/relationships/hyperlink" Target="https://www.ebay.co.uk/mesh/ord/details?orderid=13-10337-83106&amp;redirect=true" TargetMode="External"/><Relationship Id="rId46" Type="http://schemas.openxmlformats.org/officeDocument/2006/relationships/hyperlink" Target="https://www.ebay.co.uk/mesh/ord/details?orderid=09-10352-26885&amp;redirect=true" TargetMode="External"/><Relationship Id="rId67" Type="http://schemas.openxmlformats.org/officeDocument/2006/relationships/hyperlink" Target="https://www.ebay.co.uk/mesh/ord/details?orderid=24-10380-07668&amp;mode=ME" TargetMode="External"/><Relationship Id="rId20" Type="http://schemas.openxmlformats.org/officeDocument/2006/relationships/hyperlink" Target="https://www.ebay.co.uk/mesh/ord/details?orderid=22-10323-18881&amp;redirect=true" TargetMode="External"/><Relationship Id="rId41" Type="http://schemas.openxmlformats.org/officeDocument/2006/relationships/hyperlink" Target="https://www.ebay.co.uk/mesh/ord/details?orderid=12-10346-95558&amp;redirect=true" TargetMode="External"/><Relationship Id="rId62" Type="http://schemas.openxmlformats.org/officeDocument/2006/relationships/hyperlink" Target="https://www.ebay.co.uk/mesh/ord/details?orderid=05-10369-80419&amp;mode=ME" TargetMode="External"/><Relationship Id="rId83" Type="http://schemas.openxmlformats.org/officeDocument/2006/relationships/hyperlink" Target="https://www.ebay.co.uk/mesh/ord/details?orderid=21-10374-28962&amp;mode=ME" TargetMode="External"/><Relationship Id="rId88" Type="http://schemas.openxmlformats.org/officeDocument/2006/relationships/hyperlink" Target="https://www.ebay.co.uk/mesh/ord/details?itemid=305050075871&amp;transid=0&amp;redirect=true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S48"/>
  <sheetViews>
    <sheetView zoomScale="190" zoomScaleNormal="190" workbookViewId="0">
      <selection activeCell="K33" sqref="K3:K33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3930.71</v>
      </c>
      <c r="E3" s="3"/>
      <c r="F3" s="7" t="s">
        <v>1</v>
      </c>
      <c r="G3" s="4">
        <v>420</v>
      </c>
      <c r="I3" s="11" t="s">
        <v>7</v>
      </c>
      <c r="J3" s="12">
        <v>-797</v>
      </c>
      <c r="K3" s="11" t="s">
        <v>8</v>
      </c>
      <c r="L3" s="12"/>
    </row>
    <row r="4" spans="3:12" ht="15" thickBot="1">
      <c r="C4" s="187" t="s">
        <v>9</v>
      </c>
      <c r="D4" s="188">
        <f>SUMIF(K3:K29,"Yes*",J3:J29)</f>
        <v>0</v>
      </c>
      <c r="E4" s="3"/>
      <c r="F4" s="6"/>
      <c r="G4" s="5"/>
      <c r="I4" s="11" t="s">
        <v>10</v>
      </c>
      <c r="J4" s="12">
        <v>-244.8</v>
      </c>
      <c r="K4" s="11" t="s">
        <v>8</v>
      </c>
      <c r="L4" s="12" t="s">
        <v>11</v>
      </c>
    </row>
    <row r="5" spans="3:12">
      <c r="C5" s="104" t="s">
        <v>12</v>
      </c>
      <c r="D5" s="103">
        <v>3930</v>
      </c>
      <c r="E5" s="3"/>
      <c r="F5" s="24" t="s">
        <v>13</v>
      </c>
      <c r="G5" s="25"/>
      <c r="H5" s="9"/>
      <c r="I5" s="11" t="s">
        <v>14</v>
      </c>
      <c r="J5" s="12">
        <v>-25.56</v>
      </c>
      <c r="K5" s="11" t="s">
        <v>8</v>
      </c>
      <c r="L5" s="12"/>
    </row>
    <row r="6" spans="3:12" ht="15" thickBot="1">
      <c r="C6" s="189" t="s">
        <v>15</v>
      </c>
      <c r="D6" s="190">
        <f>SUMIF(K3:K33,"No",J3:J33)</f>
        <v>-3737.73</v>
      </c>
      <c r="E6" s="3"/>
      <c r="F6" s="24" t="s">
        <v>16</v>
      </c>
      <c r="G6" s="25"/>
      <c r="I6" s="11" t="s">
        <v>17</v>
      </c>
      <c r="J6" s="12">
        <v>-24.82</v>
      </c>
      <c r="K6" s="11" t="s">
        <v>8</v>
      </c>
      <c r="L6" s="12"/>
    </row>
    <row r="7" spans="3:12" ht="15" thickBot="1">
      <c r="C7" s="28" t="s">
        <v>18</v>
      </c>
      <c r="D7" s="29">
        <f>D6+D5</f>
        <v>192.26999999999998</v>
      </c>
      <c r="E7" s="3" t="s">
        <v>19</v>
      </c>
      <c r="F7" s="24" t="s">
        <v>20</v>
      </c>
      <c r="G7" s="25">
        <v>151</v>
      </c>
      <c r="I7" s="11" t="s">
        <v>21</v>
      </c>
      <c r="J7" s="12">
        <v>-13.2</v>
      </c>
      <c r="K7" s="11" t="s">
        <v>8</v>
      </c>
      <c r="L7" s="12"/>
    </row>
    <row r="8" spans="3:12" ht="15" thickBot="1">
      <c r="C8" s="107" t="s">
        <v>22</v>
      </c>
      <c r="D8" s="191">
        <f>SUMIF(L3:L33,"f",J3:J33)</f>
        <v>-1722.3</v>
      </c>
      <c r="E8" s="30"/>
      <c r="F8" s="24" t="s">
        <v>23</v>
      </c>
      <c r="G8" s="25">
        <v>35</v>
      </c>
      <c r="I8" s="11" t="s">
        <v>24</v>
      </c>
      <c r="J8" s="12">
        <v>-229</v>
      </c>
      <c r="K8" s="11" t="s">
        <v>8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</v>
      </c>
      <c r="L10" s="12"/>
    </row>
    <row r="11" spans="3:12" ht="15" thickBot="1">
      <c r="C11"/>
      <c r="D11" s="84">
        <f>D5-D10</f>
        <v>-112</v>
      </c>
      <c r="E11"/>
      <c r="F11" s="26" t="s">
        <v>28</v>
      </c>
      <c r="G11" s="27">
        <f>SUM(G3:G10)</f>
        <v>606</v>
      </c>
      <c r="I11" s="11" t="s">
        <v>29</v>
      </c>
      <c r="J11" s="12">
        <v>-395</v>
      </c>
      <c r="K11" s="11" t="s">
        <v>8</v>
      </c>
      <c r="L11" s="12"/>
    </row>
    <row r="12" spans="3:12" thickBot="1">
      <c r="C12"/>
      <c r="D12"/>
      <c r="E12"/>
      <c r="I12" s="11" t="s">
        <v>30</v>
      </c>
      <c r="J12" s="12">
        <v>-13.99</v>
      </c>
      <c r="K12" s="11" t="s">
        <v>8</v>
      </c>
      <c r="L12" s="12"/>
    </row>
    <row r="13" spans="3:12" ht="15" thickBot="1">
      <c r="C13"/>
      <c r="D13"/>
      <c r="E13"/>
      <c r="F13" s="108" t="s">
        <v>31</v>
      </c>
      <c r="G13" s="109">
        <v>290</v>
      </c>
      <c r="I13" s="11" t="s">
        <v>32</v>
      </c>
      <c r="J13" s="101">
        <v>-28.22</v>
      </c>
      <c r="K13" s="11" t="s">
        <v>8</v>
      </c>
      <c r="L13" s="12"/>
    </row>
    <row r="14" spans="3:12" ht="14">
      <c r="C14"/>
      <c r="D14"/>
      <c r="E14"/>
      <c r="F14"/>
      <c r="I14" s="11" t="s">
        <v>33</v>
      </c>
      <c r="J14" s="12">
        <v>-209</v>
      </c>
      <c r="K14" s="11" t="s">
        <v>8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-35</v>
      </c>
      <c r="K17" s="11" t="s">
        <v>8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-3</v>
      </c>
      <c r="K18" s="11" t="s">
        <v>8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1082</v>
      </c>
      <c r="I19" s="11" t="s">
        <v>42</v>
      </c>
      <c r="J19" s="12">
        <v>-600</v>
      </c>
      <c r="K19" s="11" t="s">
        <v>8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160</v>
      </c>
      <c r="I20" s="11" t="s">
        <v>45</v>
      </c>
      <c r="J20" s="12"/>
      <c r="K20" s="11" t="s">
        <v>8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I21" s="11" t="s">
        <v>47</v>
      </c>
      <c r="J21" s="12">
        <v>-12.5</v>
      </c>
      <c r="K21" s="11" t="s">
        <v>8</v>
      </c>
      <c r="L21" s="12" t="s">
        <v>11</v>
      </c>
    </row>
    <row r="22" spans="1:13" ht="14">
      <c r="C22"/>
      <c r="D22"/>
      <c r="E22"/>
      <c r="F22" t="s">
        <v>44</v>
      </c>
      <c r="I22" s="11" t="s">
        <v>48</v>
      </c>
      <c r="J22" s="12"/>
      <c r="K22" s="11" t="s">
        <v>8</v>
      </c>
      <c r="L22" s="12" t="s">
        <v>11</v>
      </c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</v>
      </c>
      <c r="L23" s="12" t="s">
        <v>11</v>
      </c>
    </row>
    <row r="24" spans="1:13">
      <c r="C24" s="31"/>
      <c r="E24"/>
      <c r="F24"/>
      <c r="G24" s="3">
        <f>SUM(G20:G23)-G19</f>
        <v>-922</v>
      </c>
      <c r="I24" s="11" t="s">
        <v>50</v>
      </c>
      <c r="J24" s="12">
        <v>-10</v>
      </c>
      <c r="K24" s="11" t="s">
        <v>8</v>
      </c>
      <c r="L24" s="12"/>
    </row>
    <row r="25" spans="1:13">
      <c r="C25" s="31" t="s">
        <v>51</v>
      </c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 t="s">
        <v>53</v>
      </c>
      <c r="D26" s="3">
        <v>60</v>
      </c>
      <c r="E26" s="32"/>
      <c r="I26" s="11" t="s">
        <v>54</v>
      </c>
      <c r="J26" s="12"/>
      <c r="K26" s="11" t="s">
        <v>8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</v>
      </c>
      <c r="L27" s="12"/>
    </row>
    <row r="28" spans="1:13">
      <c r="C28" s="31"/>
      <c r="E28" s="32"/>
      <c r="I28" s="11" t="s">
        <v>56</v>
      </c>
      <c r="J28" s="12">
        <v>-85</v>
      </c>
      <c r="K28" s="11" t="s">
        <v>8</v>
      </c>
      <c r="L28" s="12" t="s">
        <v>11</v>
      </c>
    </row>
    <row r="29" spans="1:13">
      <c r="C29" s="31"/>
      <c r="E29" s="32"/>
      <c r="I29" s="11" t="s">
        <v>13</v>
      </c>
      <c r="J29" s="12">
        <v>-115</v>
      </c>
      <c r="K29" s="11" t="s">
        <v>8</v>
      </c>
      <c r="L29" s="12"/>
      <c r="M29" s="15"/>
    </row>
    <row r="30" spans="1:13">
      <c r="C30" s="31"/>
      <c r="E30" s="32"/>
      <c r="I30" s="11" t="s">
        <v>57</v>
      </c>
      <c r="J30" s="12">
        <v>-30</v>
      </c>
      <c r="K30" s="11" t="s">
        <v>8</v>
      </c>
      <c r="L30" s="12" t="s">
        <v>11</v>
      </c>
    </row>
    <row r="31" spans="1:13">
      <c r="A31" s="14"/>
      <c r="B31" s="14"/>
      <c r="C31" s="31"/>
      <c r="E31" s="32"/>
      <c r="I31" s="11" t="s">
        <v>58</v>
      </c>
      <c r="J31" s="12"/>
      <c r="K31" s="11" t="s">
        <v>8</v>
      </c>
      <c r="L31" s="12"/>
    </row>
    <row r="32" spans="1:13">
      <c r="C32" s="31"/>
      <c r="E32" s="32"/>
      <c r="H32" s="30"/>
      <c r="I32" s="11" t="s">
        <v>59</v>
      </c>
      <c r="J32" s="12"/>
      <c r="K32" s="11" t="s">
        <v>8</v>
      </c>
      <c r="L32" s="12"/>
    </row>
    <row r="33" spans="4:12">
      <c r="D33" s="3">
        <f>SUM(D26:D32)</f>
        <v>60</v>
      </c>
      <c r="E33" s="32"/>
      <c r="H33" s="30"/>
      <c r="I33" s="11" t="s">
        <v>60</v>
      </c>
      <c r="J33" s="12"/>
      <c r="K33" s="11" t="s">
        <v>8</v>
      </c>
      <c r="L33" s="12"/>
    </row>
    <row r="34" spans="4:12">
      <c r="E34" s="32"/>
      <c r="H34" s="30"/>
      <c r="K34" s="11" t="s">
        <v>8</v>
      </c>
    </row>
    <row r="35" spans="4:12">
      <c r="E35" s="32"/>
      <c r="H35" s="30"/>
      <c r="K35" s="82" t="s">
        <v>8</v>
      </c>
    </row>
    <row r="36" spans="4:12">
      <c r="E36" s="32"/>
      <c r="H36" s="30"/>
    </row>
    <row r="37" spans="4:12">
      <c r="E37" s="32"/>
      <c r="H37" s="30"/>
    </row>
    <row r="38" spans="4:12">
      <c r="E38" s="32"/>
      <c r="H38" s="30"/>
    </row>
    <row r="39" spans="4:12">
      <c r="E39" s="32"/>
      <c r="H39" s="30"/>
    </row>
    <row r="40" spans="4:12">
      <c r="E40" s="32"/>
      <c r="H40" s="30"/>
    </row>
    <row r="41" spans="4:12">
      <c r="E41" s="32"/>
      <c r="H41" s="30"/>
    </row>
    <row r="42" spans="4:12">
      <c r="E42" s="32"/>
      <c r="H42" s="30"/>
    </row>
    <row r="43" spans="4:12">
      <c r="E43" s="32"/>
      <c r="H43" s="30"/>
    </row>
    <row r="44" spans="4:12">
      <c r="E44" s="32"/>
      <c r="H44" s="30"/>
    </row>
    <row r="45" spans="4:12">
      <c r="E45" s="32"/>
      <c r="H45" s="30"/>
    </row>
    <row r="46" spans="4:12">
      <c r="E46" s="32"/>
      <c r="H46" s="30"/>
    </row>
    <row r="47" spans="4:12">
      <c r="E47" s="32"/>
      <c r="H47" s="30"/>
    </row>
    <row r="48" spans="4:12">
      <c r="E48" s="32"/>
      <c r="H48" s="30"/>
    </row>
  </sheetData>
  <autoFilter ref="I2:L33" xr:uid="{00000000-0009-0000-0000-000000000000}"/>
  <conditionalFormatting sqref="I3:L3 I4:J12 L4:L32 K4:K35 I13 I14:J32">
    <cfRule type="expression" dxfId="298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F28B-15B2-4E26-BB02-57E1D02B6582}">
  <dimension ref="A1:L47"/>
  <sheetViews>
    <sheetView topLeftCell="A19" zoomScale="145" zoomScaleNormal="145" workbookViewId="0">
      <selection activeCell="K47" sqref="A1:K47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4" style="226" customWidth="1"/>
    <col min="4" max="4" width="1.08203125" style="32" customWidth="1"/>
    <col min="5" max="5" width="17" style="226" bestFit="1" customWidth="1"/>
    <col min="6" max="6" width="10.5" style="226" customWidth="1"/>
    <col min="7" max="7" width="2.58203125" style="226" customWidth="1"/>
    <col min="8" max="8" width="24" style="226" customWidth="1"/>
    <col min="9" max="9" width="12.5" style="226" customWidth="1"/>
    <col min="10" max="10" width="10.08203125" style="226" customWidth="1"/>
    <col min="11" max="11" width="6.58203125" style="226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D1" s="226"/>
      <c r="E1" s="106" t="s">
        <v>1</v>
      </c>
      <c r="F1" s="31"/>
      <c r="H1" s="120" t="s">
        <v>2</v>
      </c>
      <c r="I1" s="227" t="s">
        <v>3</v>
      </c>
      <c r="J1" s="120" t="s">
        <v>4</v>
      </c>
      <c r="K1" s="227" t="s">
        <v>5</v>
      </c>
    </row>
    <row r="2" spans="1:11">
      <c r="A2" s="213" t="s">
        <v>6</v>
      </c>
      <c r="B2" s="249">
        <v>5225</v>
      </c>
      <c r="D2" s="226"/>
      <c r="E2" s="6" t="s">
        <v>520</v>
      </c>
      <c r="F2" s="5">
        <v>50</v>
      </c>
      <c r="H2" s="228" t="s">
        <v>7</v>
      </c>
      <c r="I2" s="229">
        <v>-1117</v>
      </c>
      <c r="J2" s="230" t="s">
        <v>8</v>
      </c>
      <c r="K2" s="229"/>
    </row>
    <row r="3" spans="1:11">
      <c r="A3" s="214" t="s">
        <v>9</v>
      </c>
      <c r="B3" s="192">
        <f>SUMIF(J2:J47,"Yes*",I2:I47)</f>
        <v>0</v>
      </c>
      <c r="D3" s="226"/>
      <c r="E3" s="24" t="s">
        <v>111</v>
      </c>
      <c r="F3" s="25"/>
      <c r="H3" s="228" t="s">
        <v>678</v>
      </c>
      <c r="I3" s="229">
        <v>-143</v>
      </c>
      <c r="J3" s="230" t="s">
        <v>8</v>
      </c>
      <c r="K3" s="229" t="s">
        <v>514</v>
      </c>
    </row>
    <row r="4" spans="1:11" outlineLevel="1">
      <c r="A4" s="213" t="s">
        <v>12</v>
      </c>
      <c r="B4" s="249">
        <v>5225</v>
      </c>
      <c r="D4" s="226"/>
      <c r="E4" s="24" t="s">
        <v>522</v>
      </c>
      <c r="F4" s="25">
        <v>120</v>
      </c>
      <c r="G4" s="231"/>
      <c r="H4" s="228" t="s">
        <v>14</v>
      </c>
      <c r="I4" s="229">
        <v>-39</v>
      </c>
      <c r="J4" s="230" t="s">
        <v>8</v>
      </c>
      <c r="K4" s="229"/>
    </row>
    <row r="5" spans="1:11" ht="15" thickBot="1">
      <c r="A5" s="215" t="s">
        <v>15</v>
      </c>
      <c r="B5" s="200">
        <f>SUMIF(J2:J47,"No",I2:I47)</f>
        <v>-5207.67</v>
      </c>
      <c r="D5" s="226"/>
      <c r="E5" s="24" t="s">
        <v>526</v>
      </c>
      <c r="F5" s="25">
        <v>620</v>
      </c>
      <c r="H5" s="228" t="s">
        <v>17</v>
      </c>
      <c r="I5" s="229">
        <v>-39</v>
      </c>
      <c r="J5" s="230" t="s">
        <v>8</v>
      </c>
      <c r="K5" s="229"/>
    </row>
    <row r="6" spans="1:11" ht="15" thickBot="1">
      <c r="A6" s="216" t="s">
        <v>18</v>
      </c>
      <c r="B6" s="29">
        <f>B5+B4</f>
        <v>17.329999999999927</v>
      </c>
      <c r="D6" s="226" t="s">
        <v>19</v>
      </c>
      <c r="E6" s="24" t="s">
        <v>63</v>
      </c>
      <c r="F6" s="25">
        <v>974</v>
      </c>
      <c r="H6" s="228" t="s">
        <v>21</v>
      </c>
      <c r="I6" s="229">
        <v>-15</v>
      </c>
      <c r="J6" s="230" t="s">
        <v>8</v>
      </c>
      <c r="K6" s="229"/>
    </row>
    <row r="7" spans="1:11">
      <c r="A7" s="217" t="s">
        <v>504</v>
      </c>
      <c r="B7" s="201">
        <f>SUMIF(K2:K47,"f1",I2:I47)</f>
        <v>-2017.99</v>
      </c>
      <c r="D7" s="30"/>
      <c r="E7" s="24" t="s">
        <v>133</v>
      </c>
      <c r="F7" s="25">
        <v>200</v>
      </c>
      <c r="H7" s="228" t="s">
        <v>24</v>
      </c>
      <c r="I7" s="229">
        <v>-185</v>
      </c>
      <c r="J7" s="230" t="s">
        <v>8</v>
      </c>
      <c r="K7" s="229"/>
    </row>
    <row r="8" spans="1:11">
      <c r="A8" s="218" t="s">
        <v>505</v>
      </c>
      <c r="B8" s="194">
        <f>SUMIF(K2:K47,"f2",I2:I47)</f>
        <v>-48</v>
      </c>
      <c r="D8" s="30"/>
      <c r="E8" s="24" t="s">
        <v>652</v>
      </c>
      <c r="F8" s="25">
        <v>100</v>
      </c>
      <c r="H8" s="228" t="s">
        <v>25</v>
      </c>
      <c r="I8" s="229">
        <v>-40</v>
      </c>
      <c r="J8" s="230" t="s">
        <v>8</v>
      </c>
      <c r="K8" s="229" t="s">
        <v>514</v>
      </c>
    </row>
    <row r="9" spans="1:11">
      <c r="A9" s="218" t="s">
        <v>147</v>
      </c>
      <c r="B9" s="194">
        <f>SUMIF(K2:K47,"",I2:I47)</f>
        <v>-2958.6800000000003</v>
      </c>
      <c r="D9" s="226"/>
      <c r="E9" s="24"/>
      <c r="F9" s="25"/>
      <c r="H9" s="228" t="s">
        <v>27</v>
      </c>
      <c r="I9" s="229">
        <v>-22</v>
      </c>
      <c r="J9" s="230" t="s">
        <v>8</v>
      </c>
      <c r="K9" s="229"/>
    </row>
    <row r="10" spans="1:11" ht="15" thickBot="1">
      <c r="A10" s="218" t="s">
        <v>202</v>
      </c>
      <c r="B10" s="194">
        <f>SUMIF(K2:K47,"s",I2:I47)</f>
        <v>-183</v>
      </c>
      <c r="D10" s="226"/>
      <c r="E10" s="24" t="s">
        <v>618</v>
      </c>
      <c r="F10" s="25"/>
      <c r="H10" s="228" t="s">
        <v>575</v>
      </c>
      <c r="I10" s="229">
        <v>-55</v>
      </c>
      <c r="J10" s="230" t="s">
        <v>8</v>
      </c>
      <c r="K10" s="229"/>
    </row>
    <row r="11" spans="1:11" ht="15" thickBot="1">
      <c r="A11" s="237" t="s">
        <v>7</v>
      </c>
      <c r="D11" s="226"/>
      <c r="E11" s="26" t="s">
        <v>28</v>
      </c>
      <c r="F11" s="27">
        <f>SUM(F2:F10)</f>
        <v>2064</v>
      </c>
      <c r="H11" s="228" t="s">
        <v>623</v>
      </c>
      <c r="I11" s="229">
        <v>-7.99</v>
      </c>
      <c r="J11" s="230" t="s">
        <v>8</v>
      </c>
      <c r="K11" s="229" t="s">
        <v>502</v>
      </c>
    </row>
    <row r="12" spans="1:11" ht="15" thickBot="1">
      <c r="A12" s="219" t="s">
        <v>35</v>
      </c>
      <c r="B12" s="202">
        <v>151455.79</v>
      </c>
      <c r="C12" s="226" t="s">
        <v>642</v>
      </c>
      <c r="D12" s="226"/>
      <c r="E12" s="26"/>
      <c r="F12" s="27"/>
      <c r="H12" s="228" t="s">
        <v>128</v>
      </c>
      <c r="I12" s="235">
        <v>-8.99</v>
      </c>
      <c r="J12" s="230" t="s">
        <v>8</v>
      </c>
      <c r="K12" s="229"/>
    </row>
    <row r="13" spans="1:11" ht="15" thickBot="1">
      <c r="A13" s="220" t="s">
        <v>37</v>
      </c>
      <c r="B13" s="203">
        <v>80139.8</v>
      </c>
      <c r="C13" s="250">
        <v>4.82E-2</v>
      </c>
      <c r="D13" s="226"/>
      <c r="E13" s="26" t="s">
        <v>543</v>
      </c>
      <c r="F13" s="27">
        <v>22500</v>
      </c>
      <c r="H13" s="228" t="s">
        <v>33</v>
      </c>
      <c r="I13" s="229">
        <v>-239</v>
      </c>
      <c r="J13" s="230" t="s">
        <v>8</v>
      </c>
      <c r="K13" s="229"/>
    </row>
    <row r="14" spans="1:11" ht="15" thickBot="1">
      <c r="A14" s="221" t="s">
        <v>38</v>
      </c>
      <c r="B14" s="204">
        <f>SUM(B12:B13)</f>
        <v>231595.59000000003</v>
      </c>
      <c r="D14" s="226"/>
      <c r="E14" s="27" t="s">
        <v>60</v>
      </c>
      <c r="F14" s="27">
        <v>1000</v>
      </c>
      <c r="H14" s="228" t="s">
        <v>34</v>
      </c>
      <c r="I14" s="229">
        <v>-13</v>
      </c>
      <c r="J14" s="230" t="s">
        <v>8</v>
      </c>
      <c r="K14" s="229"/>
    </row>
    <row r="15" spans="1:11" ht="15" thickBot="1">
      <c r="A15" s="222" t="s">
        <v>40</v>
      </c>
      <c r="B15" s="205">
        <f>B16*0.2</f>
        <v>92000</v>
      </c>
      <c r="D15" s="226"/>
      <c r="E15" s="26" t="s">
        <v>111</v>
      </c>
      <c r="F15" s="27"/>
      <c r="H15" s="228" t="s">
        <v>470</v>
      </c>
      <c r="I15" s="229">
        <v>-10</v>
      </c>
      <c r="J15" s="230" t="s">
        <v>8</v>
      </c>
      <c r="K15" s="229"/>
    </row>
    <row r="16" spans="1:11" ht="15" thickBot="1">
      <c r="A16" s="238" t="s">
        <v>43</v>
      </c>
      <c r="B16" s="248">
        <v>460000</v>
      </c>
      <c r="D16" s="226"/>
      <c r="E16" s="26" t="s">
        <v>637</v>
      </c>
      <c r="F16" s="27"/>
      <c r="H16" s="228" t="s">
        <v>34</v>
      </c>
      <c r="I16" s="229">
        <v>-58</v>
      </c>
      <c r="J16" s="230" t="s">
        <v>8</v>
      </c>
      <c r="K16" s="229"/>
    </row>
    <row r="17" spans="1:12" ht="15" thickBot="1">
      <c r="A17" s="240" t="s">
        <v>46</v>
      </c>
      <c r="B17" s="247">
        <f>B16-SUM(B14:B15)</f>
        <v>136404.40999999997</v>
      </c>
      <c r="D17" s="226"/>
      <c r="E17" s="26" t="s">
        <v>646</v>
      </c>
      <c r="F17" s="27"/>
      <c r="H17" s="228" t="s">
        <v>39</v>
      </c>
      <c r="I17" s="229">
        <v>-1.5</v>
      </c>
      <c r="J17" s="230" t="s">
        <v>8</v>
      </c>
      <c r="K17" s="229"/>
    </row>
    <row r="18" spans="1:12" ht="15" thickBot="1">
      <c r="D18" s="226"/>
      <c r="E18" s="26" t="s">
        <v>639</v>
      </c>
      <c r="F18" s="27"/>
      <c r="H18" s="228" t="s">
        <v>479</v>
      </c>
      <c r="I18" s="229">
        <v>-5</v>
      </c>
      <c r="J18" s="230" t="s">
        <v>8</v>
      </c>
      <c r="K18" s="229"/>
    </row>
    <row r="19" spans="1:12" ht="15" thickBot="1">
      <c r="D19" s="226"/>
      <c r="E19" s="26" t="s">
        <v>640</v>
      </c>
      <c r="F19" s="27"/>
      <c r="H19" s="228" t="s">
        <v>68</v>
      </c>
      <c r="I19" s="229">
        <v>-800</v>
      </c>
      <c r="J19" s="230" t="s">
        <v>8</v>
      </c>
      <c r="K19" s="229" t="s">
        <v>502</v>
      </c>
    </row>
    <row r="20" spans="1:12" ht="15" thickBot="1">
      <c r="D20" s="226"/>
      <c r="E20" s="26" t="s">
        <v>63</v>
      </c>
      <c r="F20" s="27"/>
      <c r="H20" s="228" t="s">
        <v>70</v>
      </c>
      <c r="I20" s="229">
        <v>-28</v>
      </c>
      <c r="J20" s="230" t="s">
        <v>8</v>
      </c>
      <c r="K20" s="229" t="s">
        <v>503</v>
      </c>
    </row>
    <row r="21" spans="1:12" ht="15" thickBot="1">
      <c r="D21" s="226"/>
      <c r="E21" s="26" t="s">
        <v>580</v>
      </c>
      <c r="F21" s="27">
        <f>SUM(F15:F20)</f>
        <v>0</v>
      </c>
      <c r="H21" s="228" t="s">
        <v>404</v>
      </c>
      <c r="I21" s="229">
        <v>-14.99</v>
      </c>
      <c r="J21" s="230" t="s">
        <v>8</v>
      </c>
      <c r="K21" s="229"/>
    </row>
    <row r="22" spans="1:12">
      <c r="D22" s="226"/>
      <c r="E22" s="226" t="s">
        <v>73</v>
      </c>
      <c r="H22" s="228" t="s">
        <v>49</v>
      </c>
      <c r="I22" s="229">
        <v>-930</v>
      </c>
      <c r="J22" s="230" t="s">
        <v>8</v>
      </c>
      <c r="K22" s="229" t="s">
        <v>502</v>
      </c>
    </row>
    <row r="23" spans="1:12">
      <c r="D23" s="226"/>
      <c r="H23" s="228" t="s">
        <v>133</v>
      </c>
      <c r="I23" s="229">
        <v>-150</v>
      </c>
      <c r="J23" s="230" t="s">
        <v>8</v>
      </c>
      <c r="K23" s="229"/>
    </row>
    <row r="24" spans="1:12">
      <c r="H24" s="228" t="s">
        <v>111</v>
      </c>
      <c r="I24" s="229">
        <v>-75</v>
      </c>
      <c r="J24" s="230" t="s">
        <v>8</v>
      </c>
      <c r="K24" s="229" t="s">
        <v>502</v>
      </c>
    </row>
    <row r="25" spans="1:12">
      <c r="H25" s="228" t="s">
        <v>62</v>
      </c>
      <c r="I25" s="229">
        <v>-20</v>
      </c>
      <c r="J25" s="230" t="s">
        <v>8</v>
      </c>
      <c r="K25" s="229"/>
    </row>
    <row r="26" spans="1:12">
      <c r="H26" s="228" t="s">
        <v>55</v>
      </c>
      <c r="I26" s="229">
        <v>-27.7</v>
      </c>
      <c r="J26" s="230" t="s">
        <v>8</v>
      </c>
      <c r="K26" s="229"/>
    </row>
    <row r="27" spans="1:12">
      <c r="H27" s="228" t="s">
        <v>56</v>
      </c>
      <c r="I27" s="229">
        <v>-90</v>
      </c>
      <c r="J27" s="230" t="s">
        <v>8</v>
      </c>
      <c r="K27" s="229" t="s">
        <v>502</v>
      </c>
    </row>
    <row r="28" spans="1:12">
      <c r="H28" s="228" t="s">
        <v>78</v>
      </c>
      <c r="I28" s="229">
        <v>-18</v>
      </c>
      <c r="J28" s="230" t="s">
        <v>8</v>
      </c>
      <c r="K28" s="229"/>
      <c r="L28" s="242"/>
    </row>
    <row r="29" spans="1:12">
      <c r="H29" s="244" t="s">
        <v>600</v>
      </c>
      <c r="I29" s="229">
        <v>-133</v>
      </c>
      <c r="J29" s="230" t="s">
        <v>8</v>
      </c>
      <c r="K29" s="229"/>
    </row>
    <row r="30" spans="1:12">
      <c r="A30" s="31" t="s">
        <v>509</v>
      </c>
      <c r="H30" s="228" t="s">
        <v>79</v>
      </c>
      <c r="I30" s="229">
        <v>-14.5</v>
      </c>
      <c r="J30" s="230" t="s">
        <v>8</v>
      </c>
      <c r="K30" s="229"/>
    </row>
    <row r="31" spans="1:12" ht="15.5">
      <c r="A31" s="243">
        <v>1104841580</v>
      </c>
      <c r="G31" s="30"/>
      <c r="H31" s="228" t="s">
        <v>80</v>
      </c>
      <c r="I31" s="229">
        <v>-35</v>
      </c>
      <c r="J31" s="230" t="s">
        <v>8</v>
      </c>
      <c r="K31" s="229" t="s">
        <v>502</v>
      </c>
    </row>
    <row r="32" spans="1:12">
      <c r="G32" s="30"/>
      <c r="H32" s="228" t="s">
        <v>144</v>
      </c>
      <c r="I32" s="229">
        <v>-80</v>
      </c>
      <c r="J32" s="230" t="s">
        <v>8</v>
      </c>
      <c r="K32" s="229"/>
    </row>
    <row r="33" spans="7:11">
      <c r="G33" s="30"/>
      <c r="H33" s="228" t="s">
        <v>573</v>
      </c>
      <c r="I33" s="229">
        <v>-25</v>
      </c>
      <c r="J33" s="230" t="s">
        <v>8</v>
      </c>
      <c r="K33" s="244"/>
    </row>
    <row r="34" spans="7:11">
      <c r="G34" s="30"/>
      <c r="H34" s="228" t="s">
        <v>84</v>
      </c>
      <c r="I34" s="229">
        <v>-130</v>
      </c>
      <c r="J34" s="230" t="s">
        <v>8</v>
      </c>
      <c r="K34" s="244"/>
    </row>
    <row r="35" spans="7:11">
      <c r="G35" s="30"/>
      <c r="H35" s="244" t="s">
        <v>636</v>
      </c>
      <c r="I35" s="229">
        <v>-20</v>
      </c>
      <c r="J35" s="230" t="s">
        <v>8</v>
      </c>
      <c r="K35" s="244" t="s">
        <v>503</v>
      </c>
    </row>
    <row r="36" spans="7:11">
      <c r="G36" s="30"/>
      <c r="H36" s="244" t="s">
        <v>626</v>
      </c>
      <c r="I36" s="229">
        <v>-80</v>
      </c>
      <c r="J36" s="230" t="s">
        <v>8</v>
      </c>
      <c r="K36" s="244" t="s">
        <v>502</v>
      </c>
    </row>
    <row r="37" spans="7:11">
      <c r="G37" s="30"/>
      <c r="H37" s="244" t="s">
        <v>63</v>
      </c>
      <c r="I37" s="229">
        <v>-50</v>
      </c>
      <c r="J37" s="230" t="s">
        <v>8</v>
      </c>
      <c r="K37" s="244"/>
    </row>
    <row r="38" spans="7:11">
      <c r="G38" s="30"/>
      <c r="H38" s="244" t="s">
        <v>609</v>
      </c>
      <c r="I38" s="229">
        <v>-8</v>
      </c>
      <c r="J38" s="230" t="s">
        <v>8</v>
      </c>
      <c r="K38" s="244"/>
    </row>
    <row r="39" spans="7:11">
      <c r="G39" s="30"/>
      <c r="H39" s="244" t="s">
        <v>527</v>
      </c>
      <c r="I39" s="229">
        <v>-300</v>
      </c>
      <c r="J39" s="230" t="s">
        <v>8</v>
      </c>
      <c r="K39" s="244"/>
    </row>
    <row r="40" spans="7:11">
      <c r="G40" s="30"/>
      <c r="H40" s="244" t="s">
        <v>57</v>
      </c>
      <c r="I40" s="229">
        <v>-30</v>
      </c>
      <c r="J40" s="230" t="s">
        <v>8</v>
      </c>
      <c r="K40" s="244"/>
    </row>
    <row r="41" spans="7:11">
      <c r="G41" s="30"/>
      <c r="H41" s="226" t="s">
        <v>679</v>
      </c>
      <c r="I41" s="226">
        <v>-150</v>
      </c>
      <c r="J41" s="230" t="s">
        <v>8</v>
      </c>
      <c r="K41" s="244"/>
    </row>
    <row r="42" spans="7:11">
      <c r="G42" s="30"/>
      <c r="J42" s="230" t="s">
        <v>8</v>
      </c>
      <c r="K42" s="244"/>
    </row>
    <row r="43" spans="7:11">
      <c r="G43" s="30"/>
      <c r="H43" s="244"/>
      <c r="I43" s="229"/>
      <c r="J43" s="230" t="s">
        <v>8</v>
      </c>
      <c r="K43" s="244"/>
    </row>
    <row r="44" spans="7:11">
      <c r="G44" s="30"/>
      <c r="H44" s="244"/>
      <c r="I44" s="229"/>
      <c r="J44" s="230" t="s">
        <v>8</v>
      </c>
      <c r="K44" s="244"/>
    </row>
    <row r="45" spans="7:11">
      <c r="G45" s="30"/>
      <c r="H45" s="244"/>
      <c r="I45" s="229"/>
      <c r="J45" s="230" t="s">
        <v>8</v>
      </c>
      <c r="K45" s="244"/>
    </row>
    <row r="46" spans="7:11">
      <c r="G46" s="30"/>
      <c r="H46" s="244"/>
      <c r="I46" s="229"/>
      <c r="J46" s="230" t="s">
        <v>8</v>
      </c>
      <c r="K46" s="244"/>
    </row>
    <row r="47" spans="7:11">
      <c r="H47" s="244"/>
      <c r="I47" s="229"/>
      <c r="J47" s="230" t="s">
        <v>8</v>
      </c>
      <c r="K47" s="244"/>
    </row>
  </sheetData>
  <conditionalFormatting sqref="H2:I11 H12 H13:I31 H33:I34">
    <cfRule type="expression" dxfId="297" priority="2">
      <formula>#REF!</formula>
    </cfRule>
  </conditionalFormatting>
  <conditionalFormatting sqref="I29 I35:I40 I43:I47">
    <cfRule type="expression" dxfId="296" priority="1">
      <formula>#REF!</formula>
    </cfRule>
  </conditionalFormatting>
  <conditionalFormatting sqref="J2:J47">
    <cfRule type="containsText" dxfId="295" priority="4" operator="containsText" text="No">
      <formula>NOT(ISERROR(SEARCH("No",J2)))</formula>
    </cfRule>
    <cfRule type="containsText" dxfId="294" priority="5" operator="containsText" text="yes">
      <formula>NOT(ISERROR(SEARCH("yes",J2)))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93" priority="10">
      <formula>#REF!</formula>
    </cfRule>
  </conditionalFormatting>
  <conditionalFormatting sqref="J38:J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92" priority="7">
      <formula>#REF!</formula>
    </cfRule>
  </conditionalFormatting>
  <conditionalFormatting sqref="K2:K31">
    <cfRule type="expression" dxfId="291" priority="8">
      <formula>#REF!</formula>
    </cfRule>
  </conditionalFormatting>
  <conditionalFormatting sqref="K2:K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{FAB8B3F9-A117-4DDF-B326-06A62DE27AFD}</x14:id>
        </ext>
      </extLst>
    </cfRule>
  </conditionalFormatting>
  <conditionalFormatting sqref="K38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{47DDC4C6-AE54-4950-B4D8-454FA48502EC}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B8B3F9-A117-4DDF-B326-06A62DE27A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K2:K37</xm:sqref>
        </x14:conditionalFormatting>
        <x14:conditionalFormatting xmlns:xm="http://schemas.microsoft.com/office/excel/2006/main">
          <x14:cfRule type="dataBar" id="{47DDC4C6-AE54-4950-B4D8-454FA48502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K38:K47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B0D8-E572-4928-99F5-907C6A5615AC}">
  <dimension ref="A1:L47"/>
  <sheetViews>
    <sheetView zoomScale="145" zoomScaleNormal="145" workbookViewId="0">
      <selection activeCell="H30" sqref="H30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4" style="226" customWidth="1"/>
    <col min="4" max="4" width="1.08203125" style="32" customWidth="1"/>
    <col min="5" max="5" width="17" style="226" bestFit="1" customWidth="1"/>
    <col min="6" max="6" width="10.5" style="226" customWidth="1"/>
    <col min="7" max="7" width="2.58203125" style="226" customWidth="1"/>
    <col min="8" max="8" width="24" style="226" customWidth="1"/>
    <col min="9" max="9" width="12.5" style="226" customWidth="1"/>
    <col min="10" max="10" width="10.08203125" style="226" customWidth="1"/>
    <col min="11" max="11" width="6.58203125" style="226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D1" s="226"/>
      <c r="E1" s="106" t="s">
        <v>1</v>
      </c>
      <c r="F1" s="31"/>
      <c r="H1" s="120" t="s">
        <v>2</v>
      </c>
      <c r="I1" s="227" t="s">
        <v>3</v>
      </c>
      <c r="J1" s="120" t="s">
        <v>4</v>
      </c>
      <c r="K1" s="227" t="s">
        <v>5</v>
      </c>
    </row>
    <row r="2" spans="1:11">
      <c r="A2" s="213" t="s">
        <v>6</v>
      </c>
      <c r="B2" s="249">
        <v>5225</v>
      </c>
      <c r="D2" s="226"/>
      <c r="E2" s="6" t="s">
        <v>520</v>
      </c>
      <c r="F2" s="5">
        <v>50</v>
      </c>
      <c r="H2" s="228" t="s">
        <v>7</v>
      </c>
      <c r="I2" s="229">
        <v>-1117</v>
      </c>
      <c r="J2" s="230" t="s">
        <v>8</v>
      </c>
      <c r="K2" s="229"/>
    </row>
    <row r="3" spans="1:11">
      <c r="A3" s="214" t="s">
        <v>9</v>
      </c>
      <c r="B3" s="192">
        <f>SUMIF(J2:J47,"Yes*",I2:I47)</f>
        <v>0</v>
      </c>
      <c r="D3" s="226"/>
      <c r="E3" s="24" t="s">
        <v>111</v>
      </c>
      <c r="F3" s="25"/>
      <c r="H3" s="228" t="s">
        <v>678</v>
      </c>
      <c r="I3" s="229">
        <v>-143</v>
      </c>
      <c r="J3" s="230" t="s">
        <v>8</v>
      </c>
      <c r="K3" s="229" t="s">
        <v>514</v>
      </c>
    </row>
    <row r="4" spans="1:11" outlineLevel="1">
      <c r="A4" s="213" t="s">
        <v>12</v>
      </c>
      <c r="B4" s="249">
        <v>5225</v>
      </c>
      <c r="D4" s="226"/>
      <c r="E4" s="24" t="s">
        <v>522</v>
      </c>
      <c r="F4" s="25">
        <v>120</v>
      </c>
      <c r="G4" s="231"/>
      <c r="H4" s="228" t="s">
        <v>14</v>
      </c>
      <c r="I4" s="229">
        <v>-39</v>
      </c>
      <c r="J4" s="230" t="s">
        <v>8</v>
      </c>
      <c r="K4" s="229"/>
    </row>
    <row r="5" spans="1:11" ht="15" thickBot="1">
      <c r="A5" s="215" t="s">
        <v>15</v>
      </c>
      <c r="B5" s="200">
        <f>SUMIF(J2:J47,"No",I2:I47)</f>
        <v>-5219.6699999999992</v>
      </c>
      <c r="D5" s="226"/>
      <c r="E5" s="24" t="s">
        <v>526</v>
      </c>
      <c r="F5" s="25">
        <v>620</v>
      </c>
      <c r="H5" s="228" t="s">
        <v>17</v>
      </c>
      <c r="I5" s="229">
        <v>-39</v>
      </c>
      <c r="J5" s="230" t="s">
        <v>8</v>
      </c>
      <c r="K5" s="229"/>
    </row>
    <row r="6" spans="1:11" ht="15" thickBot="1">
      <c r="A6" s="216" t="s">
        <v>18</v>
      </c>
      <c r="B6" s="29">
        <f>B5+B4</f>
        <v>5.3300000000008367</v>
      </c>
      <c r="D6" s="226" t="s">
        <v>19</v>
      </c>
      <c r="E6" s="24" t="s">
        <v>63</v>
      </c>
      <c r="F6" s="25">
        <v>974</v>
      </c>
      <c r="H6" s="228" t="s">
        <v>21</v>
      </c>
      <c r="I6" s="229">
        <v>-15</v>
      </c>
      <c r="J6" s="230" t="s">
        <v>8</v>
      </c>
      <c r="K6" s="229"/>
    </row>
    <row r="7" spans="1:11">
      <c r="A7" s="217" t="s">
        <v>504</v>
      </c>
      <c r="B7" s="201">
        <f>SUMIF(K2:K47,"f1",I2:I47)</f>
        <v>-2272.9899999999998</v>
      </c>
      <c r="D7" s="30"/>
      <c r="E7" s="24" t="s">
        <v>133</v>
      </c>
      <c r="F7" s="25">
        <v>200</v>
      </c>
      <c r="H7" s="228" t="s">
        <v>24</v>
      </c>
      <c r="I7" s="229">
        <v>-185</v>
      </c>
      <c r="J7" s="230" t="s">
        <v>8</v>
      </c>
      <c r="K7" s="229"/>
    </row>
    <row r="8" spans="1:11">
      <c r="A8" s="218" t="s">
        <v>505</v>
      </c>
      <c r="B8" s="194">
        <f>SUMIF(K2:K47,"f2",I2:I47)</f>
        <v>-48</v>
      </c>
      <c r="D8" s="30"/>
      <c r="E8" s="24" t="s">
        <v>652</v>
      </c>
      <c r="F8" s="25">
        <v>100</v>
      </c>
      <c r="H8" s="228" t="s">
        <v>25</v>
      </c>
      <c r="I8" s="229">
        <v>-40</v>
      </c>
      <c r="J8" s="230" t="s">
        <v>8</v>
      </c>
      <c r="K8" s="229" t="s">
        <v>514</v>
      </c>
    </row>
    <row r="9" spans="1:11">
      <c r="A9" s="218" t="s">
        <v>147</v>
      </c>
      <c r="B9" s="194">
        <f>SUMIF(K2:K47,"",I2:I47)</f>
        <v>-2715.6800000000003</v>
      </c>
      <c r="D9" s="226"/>
      <c r="E9" s="24"/>
      <c r="F9" s="25"/>
      <c r="H9" s="228" t="s">
        <v>27</v>
      </c>
      <c r="I9" s="229">
        <v>-22</v>
      </c>
      <c r="J9" s="230" t="s">
        <v>8</v>
      </c>
      <c r="K9" s="229"/>
    </row>
    <row r="10" spans="1:11" ht="15" thickBot="1">
      <c r="A10" s="218" t="s">
        <v>202</v>
      </c>
      <c r="B10" s="194">
        <f>SUMIF(K2:K47,"s",I2:I47)</f>
        <v>-183</v>
      </c>
      <c r="D10" s="226"/>
      <c r="E10" s="24" t="s">
        <v>618</v>
      </c>
      <c r="F10" s="25"/>
      <c r="H10" s="228" t="s">
        <v>575</v>
      </c>
      <c r="I10" s="229">
        <v>-55</v>
      </c>
      <c r="J10" s="230" t="s">
        <v>8</v>
      </c>
      <c r="K10" s="229"/>
    </row>
    <row r="11" spans="1:11" ht="15" thickBot="1">
      <c r="A11" s="237" t="s">
        <v>7</v>
      </c>
      <c r="D11" s="226"/>
      <c r="E11" s="26" t="s">
        <v>28</v>
      </c>
      <c r="F11" s="27">
        <f>SUM(F2:F10)</f>
        <v>2064</v>
      </c>
      <c r="H11" s="228" t="s">
        <v>623</v>
      </c>
      <c r="I11" s="229">
        <v>-7.99</v>
      </c>
      <c r="J11" s="230" t="s">
        <v>8</v>
      </c>
      <c r="K11" s="229" t="s">
        <v>502</v>
      </c>
    </row>
    <row r="12" spans="1:11" ht="15" thickBot="1">
      <c r="A12" s="219" t="s">
        <v>35</v>
      </c>
      <c r="B12" s="202">
        <v>151455.79</v>
      </c>
      <c r="C12" s="226" t="s">
        <v>642</v>
      </c>
      <c r="D12" s="226"/>
      <c r="E12" s="26"/>
      <c r="F12" s="27"/>
      <c r="H12" s="228" t="s">
        <v>128</v>
      </c>
      <c r="I12" s="235">
        <v>-8.99</v>
      </c>
      <c r="J12" s="230" t="s">
        <v>8</v>
      </c>
      <c r="K12" s="229"/>
    </row>
    <row r="13" spans="1:11" ht="15" thickBot="1">
      <c r="A13" s="220" t="s">
        <v>37</v>
      </c>
      <c r="B13" s="203">
        <v>80139.8</v>
      </c>
      <c r="C13" s="250">
        <v>4.82E-2</v>
      </c>
      <c r="D13" s="226"/>
      <c r="E13" s="26" t="s">
        <v>543</v>
      </c>
      <c r="F13" s="27">
        <v>22500</v>
      </c>
      <c r="H13" s="228" t="s">
        <v>33</v>
      </c>
      <c r="I13" s="229">
        <v>-239</v>
      </c>
      <c r="J13" s="230" t="s">
        <v>8</v>
      </c>
      <c r="K13" s="229"/>
    </row>
    <row r="14" spans="1:11" ht="15" thickBot="1">
      <c r="A14" s="221" t="s">
        <v>38</v>
      </c>
      <c r="B14" s="204">
        <f>SUM(B12:B13)</f>
        <v>231595.59000000003</v>
      </c>
      <c r="D14" s="226"/>
      <c r="E14" s="27" t="s">
        <v>60</v>
      </c>
      <c r="F14" s="27">
        <v>1000</v>
      </c>
      <c r="H14" s="228" t="s">
        <v>34</v>
      </c>
      <c r="I14" s="229">
        <v>-13</v>
      </c>
      <c r="J14" s="230" t="s">
        <v>8</v>
      </c>
      <c r="K14" s="229"/>
    </row>
    <row r="15" spans="1:11" ht="15" thickBot="1">
      <c r="A15" s="222" t="s">
        <v>40</v>
      </c>
      <c r="B15" s="205">
        <f>B16*0.2</f>
        <v>92000</v>
      </c>
      <c r="D15" s="226"/>
      <c r="E15" s="26" t="s">
        <v>111</v>
      </c>
      <c r="F15" s="27"/>
      <c r="H15" s="228" t="s">
        <v>470</v>
      </c>
      <c r="I15" s="229">
        <v>-10</v>
      </c>
      <c r="J15" s="230" t="s">
        <v>8</v>
      </c>
      <c r="K15" s="229"/>
    </row>
    <row r="16" spans="1:11" ht="15" thickBot="1">
      <c r="A16" s="238" t="s">
        <v>43</v>
      </c>
      <c r="B16" s="248">
        <v>460000</v>
      </c>
      <c r="D16" s="226"/>
      <c r="E16" s="26" t="s">
        <v>637</v>
      </c>
      <c r="F16" s="27"/>
      <c r="H16" s="228" t="s">
        <v>34</v>
      </c>
      <c r="I16" s="229">
        <v>-58</v>
      </c>
      <c r="J16" s="230" t="s">
        <v>8</v>
      </c>
      <c r="K16" s="229"/>
    </row>
    <row r="17" spans="1:12" ht="15" thickBot="1">
      <c r="A17" s="240" t="s">
        <v>46</v>
      </c>
      <c r="B17" s="247">
        <f>B16-SUM(B14:B15)</f>
        <v>136404.40999999997</v>
      </c>
      <c r="D17" s="226"/>
      <c r="E17" s="26" t="s">
        <v>646</v>
      </c>
      <c r="F17" s="27"/>
      <c r="H17" s="228" t="s">
        <v>39</v>
      </c>
      <c r="I17" s="229">
        <v>-1.5</v>
      </c>
      <c r="J17" s="230" t="s">
        <v>8</v>
      </c>
      <c r="K17" s="229"/>
    </row>
    <row r="18" spans="1:12" ht="15" thickBot="1">
      <c r="D18" s="226"/>
      <c r="E18" s="26" t="s">
        <v>639</v>
      </c>
      <c r="F18" s="27"/>
      <c r="H18" s="228" t="s">
        <v>479</v>
      </c>
      <c r="I18" s="229">
        <v>-5</v>
      </c>
      <c r="J18" s="230" t="s">
        <v>8</v>
      </c>
      <c r="K18" s="229"/>
    </row>
    <row r="19" spans="1:12" ht="15" thickBot="1">
      <c r="D19" s="226"/>
      <c r="E19" s="26" t="s">
        <v>640</v>
      </c>
      <c r="F19" s="27"/>
      <c r="H19" s="228" t="s">
        <v>68</v>
      </c>
      <c r="I19" s="229">
        <v>-1000</v>
      </c>
      <c r="J19" s="230" t="s">
        <v>8</v>
      </c>
      <c r="K19" s="229" t="s">
        <v>502</v>
      </c>
    </row>
    <row r="20" spans="1:12" ht="15" thickBot="1">
      <c r="D20" s="226"/>
      <c r="E20" s="26" t="s">
        <v>63</v>
      </c>
      <c r="F20" s="27"/>
      <c r="H20" s="228" t="s">
        <v>70</v>
      </c>
      <c r="I20" s="229">
        <v>-28</v>
      </c>
      <c r="J20" s="230" t="s">
        <v>8</v>
      </c>
      <c r="K20" s="229" t="s">
        <v>503</v>
      </c>
    </row>
    <row r="21" spans="1:12" ht="15" thickBot="1">
      <c r="D21" s="226"/>
      <c r="E21" s="26" t="s">
        <v>580</v>
      </c>
      <c r="F21" s="27">
        <f>SUM(F15:F20)</f>
        <v>0</v>
      </c>
      <c r="H21" s="228" t="s">
        <v>404</v>
      </c>
      <c r="I21" s="229">
        <v>-14.99</v>
      </c>
      <c r="J21" s="230" t="s">
        <v>8</v>
      </c>
      <c r="K21" s="229"/>
    </row>
    <row r="22" spans="1:12">
      <c r="D22" s="226"/>
      <c r="E22" s="226" t="s">
        <v>73</v>
      </c>
      <c r="H22" s="228" t="s">
        <v>49</v>
      </c>
      <c r="I22" s="229">
        <v>-930</v>
      </c>
      <c r="J22" s="230" t="s">
        <v>8</v>
      </c>
      <c r="K22" s="229" t="s">
        <v>502</v>
      </c>
    </row>
    <row r="23" spans="1:12">
      <c r="D23" s="226"/>
      <c r="H23" s="228" t="s">
        <v>133</v>
      </c>
      <c r="I23" s="229">
        <v>-150</v>
      </c>
      <c r="J23" s="230" t="s">
        <v>8</v>
      </c>
      <c r="K23" s="229"/>
    </row>
    <row r="24" spans="1:12">
      <c r="H24" s="228" t="s">
        <v>111</v>
      </c>
      <c r="I24" s="229">
        <v>-130</v>
      </c>
      <c r="J24" s="230" t="s">
        <v>8</v>
      </c>
      <c r="K24" s="229" t="s">
        <v>502</v>
      </c>
    </row>
    <row r="25" spans="1:12">
      <c r="H25" s="228" t="s">
        <v>62</v>
      </c>
      <c r="I25" s="229">
        <v>-20</v>
      </c>
      <c r="J25" s="230" t="s">
        <v>8</v>
      </c>
      <c r="K25" s="229"/>
    </row>
    <row r="26" spans="1:12">
      <c r="H26" s="228" t="s">
        <v>55</v>
      </c>
      <c r="I26" s="229">
        <v>-27.7</v>
      </c>
      <c r="J26" s="230" t="s">
        <v>8</v>
      </c>
      <c r="K26" s="229"/>
    </row>
    <row r="27" spans="1:12">
      <c r="H27" s="228" t="s">
        <v>56</v>
      </c>
      <c r="I27" s="229">
        <v>-90</v>
      </c>
      <c r="J27" s="230" t="s">
        <v>8</v>
      </c>
      <c r="K27" s="229" t="s">
        <v>502</v>
      </c>
    </row>
    <row r="28" spans="1:12">
      <c r="H28" s="228" t="s">
        <v>78</v>
      </c>
      <c r="I28" s="229">
        <v>-18</v>
      </c>
      <c r="J28" s="230" t="s">
        <v>8</v>
      </c>
      <c r="K28" s="229"/>
      <c r="L28" s="242"/>
    </row>
    <row r="29" spans="1:12">
      <c r="H29" s="244" t="s">
        <v>57</v>
      </c>
      <c r="I29" s="229">
        <v>-30</v>
      </c>
      <c r="J29" s="230" t="s">
        <v>8</v>
      </c>
      <c r="K29" s="229"/>
    </row>
    <row r="30" spans="1:12">
      <c r="A30" s="31" t="s">
        <v>509</v>
      </c>
      <c r="H30" s="228" t="s">
        <v>79</v>
      </c>
      <c r="I30" s="229">
        <v>-14.5</v>
      </c>
      <c r="J30" s="230" t="s">
        <v>8</v>
      </c>
      <c r="K30" s="229"/>
    </row>
    <row r="31" spans="1:12" ht="15.5">
      <c r="A31" s="243">
        <v>1104841580</v>
      </c>
      <c r="G31" s="30"/>
      <c r="H31" s="228" t="s">
        <v>80</v>
      </c>
      <c r="I31" s="229">
        <v>-35</v>
      </c>
      <c r="J31" s="230" t="s">
        <v>8</v>
      </c>
      <c r="K31" s="229" t="s">
        <v>502</v>
      </c>
    </row>
    <row r="32" spans="1:12">
      <c r="G32" s="30"/>
      <c r="H32" s="228" t="s">
        <v>144</v>
      </c>
      <c r="I32" s="229">
        <v>-80</v>
      </c>
      <c r="J32" s="230" t="s">
        <v>8</v>
      </c>
      <c r="K32" s="229"/>
    </row>
    <row r="33" spans="7:11">
      <c r="G33" s="30"/>
      <c r="H33" s="228" t="s">
        <v>573</v>
      </c>
      <c r="I33" s="229">
        <v>-25</v>
      </c>
      <c r="J33" s="230" t="s">
        <v>8</v>
      </c>
      <c r="K33" s="244"/>
    </row>
    <row r="34" spans="7:11">
      <c r="G34" s="30"/>
      <c r="H34" s="228" t="s">
        <v>84</v>
      </c>
      <c r="I34" s="229">
        <v>-130</v>
      </c>
      <c r="J34" s="230" t="s">
        <v>8</v>
      </c>
      <c r="K34" s="244"/>
    </row>
    <row r="35" spans="7:11">
      <c r="G35" s="30"/>
      <c r="H35" s="244" t="s">
        <v>636</v>
      </c>
      <c r="I35" s="229">
        <v>-20</v>
      </c>
      <c r="J35" s="230" t="s">
        <v>8</v>
      </c>
      <c r="K35" s="244" t="s">
        <v>503</v>
      </c>
    </row>
    <row r="36" spans="7:11">
      <c r="G36" s="30"/>
      <c r="H36" s="244" t="s">
        <v>626</v>
      </c>
      <c r="I36" s="229">
        <v>-80</v>
      </c>
      <c r="J36" s="230" t="s">
        <v>8</v>
      </c>
      <c r="K36" s="244" t="s">
        <v>502</v>
      </c>
    </row>
    <row r="37" spans="7:11">
      <c r="G37" s="30"/>
      <c r="H37" s="244" t="s">
        <v>63</v>
      </c>
      <c r="I37" s="229">
        <v>-50</v>
      </c>
      <c r="J37" s="230" t="s">
        <v>8</v>
      </c>
      <c r="K37" s="244"/>
    </row>
    <row r="38" spans="7:11">
      <c r="G38" s="30"/>
      <c r="H38" s="244" t="s">
        <v>609</v>
      </c>
      <c r="I38" s="229">
        <v>-8</v>
      </c>
      <c r="J38" s="230" t="s">
        <v>8</v>
      </c>
      <c r="K38" s="244"/>
    </row>
    <row r="39" spans="7:11">
      <c r="G39" s="30"/>
      <c r="H39" s="244" t="s">
        <v>85</v>
      </c>
      <c r="I39" s="229">
        <v>-200</v>
      </c>
      <c r="J39" s="230" t="s">
        <v>8</v>
      </c>
      <c r="K39" s="244"/>
    </row>
    <row r="40" spans="7:11">
      <c r="G40" s="30"/>
      <c r="H40" s="244" t="s">
        <v>680</v>
      </c>
      <c r="I40" s="229">
        <v>-140</v>
      </c>
      <c r="J40" s="230" t="s">
        <v>8</v>
      </c>
      <c r="K40" s="244"/>
    </row>
    <row r="41" spans="7:11">
      <c r="G41" s="30"/>
      <c r="J41" s="230" t="s">
        <v>8</v>
      </c>
      <c r="K41" s="244"/>
    </row>
    <row r="42" spans="7:11">
      <c r="G42" s="30"/>
      <c r="J42" s="230" t="s">
        <v>8</v>
      </c>
      <c r="K42" s="244"/>
    </row>
    <row r="43" spans="7:11">
      <c r="G43" s="30"/>
      <c r="H43" s="244"/>
      <c r="I43" s="229"/>
      <c r="J43" s="230" t="s">
        <v>8</v>
      </c>
      <c r="K43" s="244"/>
    </row>
    <row r="44" spans="7:11">
      <c r="G44" s="30"/>
      <c r="H44" s="244"/>
      <c r="I44" s="229"/>
      <c r="J44" s="230" t="s">
        <v>8</v>
      </c>
      <c r="K44" s="244"/>
    </row>
    <row r="45" spans="7:11">
      <c r="G45" s="30"/>
      <c r="H45" s="244"/>
      <c r="I45" s="229"/>
      <c r="J45" s="230" t="s">
        <v>8</v>
      </c>
      <c r="K45" s="244"/>
    </row>
    <row r="46" spans="7:11">
      <c r="G46" s="30"/>
      <c r="H46" s="244"/>
      <c r="I46" s="229"/>
      <c r="J46" s="230" t="s">
        <v>8</v>
      </c>
      <c r="K46" s="244"/>
    </row>
    <row r="47" spans="7:11">
      <c r="H47" s="244"/>
      <c r="I47" s="229"/>
      <c r="J47" s="230" t="s">
        <v>8</v>
      </c>
      <c r="K47" s="244"/>
    </row>
  </sheetData>
  <conditionalFormatting sqref="H2:I11 H12 H13:I31 H33:I34">
    <cfRule type="expression" dxfId="290" priority="2">
      <formula>#REF!</formula>
    </cfRule>
  </conditionalFormatting>
  <conditionalFormatting sqref="I29 I35:I40 I43:I47">
    <cfRule type="expression" dxfId="289" priority="1">
      <formula>#REF!</formula>
    </cfRule>
  </conditionalFormatting>
  <conditionalFormatting sqref="J2:J47">
    <cfRule type="containsText" dxfId="288" priority="4" operator="containsText" text="No">
      <formula>NOT(ISERROR(SEARCH("No",J2)))</formula>
    </cfRule>
    <cfRule type="containsText" dxfId="287" priority="5" operator="containsText" text="yes">
      <formula>NOT(ISERROR(SEARCH("yes",J2)))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86" priority="10">
      <formula>#REF!</formula>
    </cfRule>
  </conditionalFormatting>
  <conditionalFormatting sqref="J38:J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85" priority="7">
      <formula>#REF!</formula>
    </cfRule>
  </conditionalFormatting>
  <conditionalFormatting sqref="K2:K31">
    <cfRule type="expression" dxfId="284" priority="8">
      <formula>#REF!</formula>
    </cfRule>
  </conditionalFormatting>
  <conditionalFormatting sqref="K2:K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{CEDCCCEB-AD67-4AED-8EA1-AB0A05066325}</x14:id>
        </ext>
      </extLst>
    </cfRule>
  </conditionalFormatting>
  <conditionalFormatting sqref="K38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{C587DFB6-302A-4B06-AA57-EFC7CC2FBF1B}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DCCCEB-AD67-4AED-8EA1-AB0A05066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K2:K37</xm:sqref>
        </x14:conditionalFormatting>
        <x14:conditionalFormatting xmlns:xm="http://schemas.microsoft.com/office/excel/2006/main">
          <x14:cfRule type="dataBar" id="{C587DFB6-302A-4B06-AA57-EFC7CC2FBF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K38:K47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CA25-E7A2-4B79-B9EF-2AB717BFFF82}">
  <dimension ref="A1:L47"/>
  <sheetViews>
    <sheetView tabSelected="1" zoomScale="145" zoomScaleNormal="145" workbookViewId="0">
      <selection activeCell="I39" sqref="I39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4" style="226" customWidth="1"/>
    <col min="4" max="4" width="1.08203125" style="32" customWidth="1"/>
    <col min="5" max="5" width="17" style="226" bestFit="1" customWidth="1"/>
    <col min="6" max="6" width="10.5" style="226" customWidth="1"/>
    <col min="7" max="7" width="2.58203125" style="226" customWidth="1"/>
    <col min="8" max="8" width="24" style="226" customWidth="1"/>
    <col min="9" max="9" width="12.5" style="226" customWidth="1"/>
    <col min="10" max="10" width="10.08203125" style="226" customWidth="1"/>
    <col min="11" max="11" width="6.58203125" style="226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D1" s="226"/>
      <c r="E1" s="106" t="s">
        <v>1</v>
      </c>
      <c r="F1" s="31"/>
      <c r="H1" s="120" t="s">
        <v>2</v>
      </c>
      <c r="I1" s="227" t="s">
        <v>3</v>
      </c>
      <c r="J1" s="120" t="s">
        <v>4</v>
      </c>
      <c r="K1" s="227" t="s">
        <v>5</v>
      </c>
    </row>
    <row r="2" spans="1:11">
      <c r="A2" s="213" t="s">
        <v>6</v>
      </c>
      <c r="B2" s="249">
        <v>5225</v>
      </c>
      <c r="D2" s="226"/>
      <c r="E2" s="6"/>
      <c r="F2" s="5"/>
      <c r="H2" s="228" t="s">
        <v>7</v>
      </c>
      <c r="I2" s="229">
        <v>-1268.67</v>
      </c>
      <c r="J2" s="230" t="s">
        <v>8</v>
      </c>
      <c r="K2" s="229"/>
    </row>
    <row r="3" spans="1:11">
      <c r="A3" s="214" t="s">
        <v>9</v>
      </c>
      <c r="B3" s="192">
        <f>SUMIF(J2:J47,"Yes*",I2:I47)</f>
        <v>0</v>
      </c>
      <c r="D3" s="226"/>
      <c r="E3" s="24"/>
      <c r="F3" s="25"/>
      <c r="H3" s="228" t="s">
        <v>557</v>
      </c>
      <c r="I3" s="229"/>
      <c r="J3" s="230" t="s">
        <v>8</v>
      </c>
      <c r="K3" s="229" t="s">
        <v>514</v>
      </c>
    </row>
    <row r="4" spans="1:11" outlineLevel="1">
      <c r="A4" s="213" t="s">
        <v>12</v>
      </c>
      <c r="B4" s="249">
        <v>5223</v>
      </c>
      <c r="D4" s="226"/>
      <c r="E4" s="24" t="s">
        <v>522</v>
      </c>
      <c r="F4" s="25">
        <v>5</v>
      </c>
      <c r="G4" s="231"/>
      <c r="H4" s="228" t="s">
        <v>14</v>
      </c>
      <c r="I4" s="229">
        <v>-39</v>
      </c>
      <c r="J4" s="230" t="s">
        <v>8</v>
      </c>
      <c r="K4" s="229"/>
    </row>
    <row r="5" spans="1:11" ht="15" thickBot="1">
      <c r="A5" s="215" t="s">
        <v>15</v>
      </c>
      <c r="B5" s="200">
        <f>SUMIF(J2:J47,"No",I2:I47)</f>
        <v>-5218.3399999999992</v>
      </c>
      <c r="D5" s="226"/>
      <c r="E5" s="24" t="s">
        <v>526</v>
      </c>
      <c r="F5" s="25">
        <v>525</v>
      </c>
      <c r="H5" s="228" t="s">
        <v>17</v>
      </c>
      <c r="I5" s="229">
        <v>-39</v>
      </c>
      <c r="J5" s="230" t="s">
        <v>8</v>
      </c>
      <c r="K5" s="229"/>
    </row>
    <row r="6" spans="1:11" ht="15" thickBot="1">
      <c r="A6" s="216" t="s">
        <v>18</v>
      </c>
      <c r="B6" s="29">
        <f>B5+B4</f>
        <v>4.660000000000764</v>
      </c>
      <c r="D6" s="226" t="s">
        <v>19</v>
      </c>
      <c r="E6" s="24" t="s">
        <v>63</v>
      </c>
      <c r="F6" s="25">
        <v>509</v>
      </c>
      <c r="H6" s="228" t="s">
        <v>21</v>
      </c>
      <c r="I6" s="229">
        <v>-15</v>
      </c>
      <c r="J6" s="230" t="s">
        <v>8</v>
      </c>
      <c r="K6" s="229"/>
    </row>
    <row r="7" spans="1:11">
      <c r="A7" s="217" t="s">
        <v>504</v>
      </c>
      <c r="B7" s="201">
        <f>SUMIF(K2:K47,"f1",I2:I47)</f>
        <v>-2387.9899999999998</v>
      </c>
      <c r="D7" s="30"/>
      <c r="E7" s="24"/>
      <c r="F7" s="25"/>
      <c r="H7" s="228" t="s">
        <v>24</v>
      </c>
      <c r="I7" s="229">
        <v>-185</v>
      </c>
      <c r="J7" s="230" t="s">
        <v>8</v>
      </c>
      <c r="K7" s="229"/>
    </row>
    <row r="8" spans="1:11">
      <c r="A8" s="218" t="s">
        <v>505</v>
      </c>
      <c r="B8" s="194">
        <f>SUMIF(K2:K47,"f2",I2:I47)</f>
        <v>-148</v>
      </c>
      <c r="D8" s="30"/>
      <c r="E8" s="24"/>
      <c r="F8" s="25"/>
      <c r="H8" s="228" t="s">
        <v>25</v>
      </c>
      <c r="I8" s="229">
        <v>-40</v>
      </c>
      <c r="J8" s="230" t="s">
        <v>8</v>
      </c>
      <c r="K8" s="229" t="s">
        <v>514</v>
      </c>
    </row>
    <row r="9" spans="1:11">
      <c r="A9" s="218" t="s">
        <v>147</v>
      </c>
      <c r="B9" s="194">
        <f>SUMIF(K2:K47,"",I2:I47)</f>
        <v>-2642.35</v>
      </c>
      <c r="D9" s="226"/>
      <c r="E9" s="24"/>
      <c r="F9" s="25"/>
      <c r="H9" s="228" t="s">
        <v>27</v>
      </c>
      <c r="I9" s="229">
        <v>-22</v>
      </c>
      <c r="J9" s="230" t="s">
        <v>8</v>
      </c>
      <c r="K9" s="229"/>
    </row>
    <row r="10" spans="1:11" ht="15" thickBot="1">
      <c r="A10" s="218" t="s">
        <v>202</v>
      </c>
      <c r="B10" s="194">
        <f>SUMIF(K2:K47,"s",I2:I47)</f>
        <v>-40</v>
      </c>
      <c r="D10" s="226"/>
      <c r="E10" s="24" t="s">
        <v>618</v>
      </c>
      <c r="F10" s="25"/>
      <c r="H10" s="228" t="s">
        <v>575</v>
      </c>
      <c r="I10" s="229">
        <v>-55</v>
      </c>
      <c r="J10" s="230" t="s">
        <v>8</v>
      </c>
      <c r="K10" s="229"/>
    </row>
    <row r="11" spans="1:11" ht="15" thickBot="1">
      <c r="A11" s="237" t="s">
        <v>7</v>
      </c>
      <c r="D11" s="226"/>
      <c r="E11" s="26" t="s">
        <v>28</v>
      </c>
      <c r="F11" s="27">
        <f>SUM(F2:F10)</f>
        <v>1039</v>
      </c>
      <c r="H11" s="228" t="s">
        <v>623</v>
      </c>
      <c r="I11" s="229">
        <v>-7.99</v>
      </c>
      <c r="J11" s="230" t="s">
        <v>8</v>
      </c>
      <c r="K11" s="229" t="s">
        <v>502</v>
      </c>
    </row>
    <row r="12" spans="1:11" ht="15" thickBot="1">
      <c r="A12" s="219" t="s">
        <v>35</v>
      </c>
      <c r="B12" s="202">
        <v>151455.79</v>
      </c>
      <c r="C12" s="226" t="s">
        <v>642</v>
      </c>
      <c r="D12" s="226"/>
      <c r="E12" s="26"/>
      <c r="F12" s="27"/>
      <c r="H12" s="228" t="s">
        <v>128</v>
      </c>
      <c r="I12" s="235">
        <v>-8.99</v>
      </c>
      <c r="J12" s="230" t="s">
        <v>8</v>
      </c>
      <c r="K12" s="229"/>
    </row>
    <row r="13" spans="1:11" ht="15" thickBot="1">
      <c r="A13" s="220" t="s">
        <v>37</v>
      </c>
      <c r="B13" s="203">
        <v>80139.8</v>
      </c>
      <c r="C13" s="250">
        <v>4.82E-2</v>
      </c>
      <c r="D13" s="226"/>
      <c r="E13" s="26" t="s">
        <v>543</v>
      </c>
      <c r="F13" s="27">
        <v>22500</v>
      </c>
      <c r="H13" s="228" t="s">
        <v>33</v>
      </c>
      <c r="I13" s="229">
        <v>-239</v>
      </c>
      <c r="J13" s="230" t="s">
        <v>8</v>
      </c>
      <c r="K13" s="229"/>
    </row>
    <row r="14" spans="1:11" ht="15" thickBot="1">
      <c r="A14" s="221" t="s">
        <v>38</v>
      </c>
      <c r="B14" s="204">
        <f>SUM(B12:B13)</f>
        <v>231595.59000000003</v>
      </c>
      <c r="D14" s="226"/>
      <c r="E14" s="27" t="s">
        <v>60</v>
      </c>
      <c r="F14" s="27">
        <v>1000</v>
      </c>
      <c r="H14" s="228" t="s">
        <v>34</v>
      </c>
      <c r="I14" s="229">
        <v>-13</v>
      </c>
      <c r="J14" s="230" t="s">
        <v>8</v>
      </c>
      <c r="K14" s="229"/>
    </row>
    <row r="15" spans="1:11" ht="15" thickBot="1">
      <c r="A15" s="222" t="s">
        <v>40</v>
      </c>
      <c r="B15" s="205">
        <f>B16*0.2</f>
        <v>92000</v>
      </c>
      <c r="D15" s="226"/>
      <c r="E15" s="26" t="s">
        <v>111</v>
      </c>
      <c r="F15" s="27">
        <v>127</v>
      </c>
      <c r="H15" s="228" t="s">
        <v>470</v>
      </c>
      <c r="I15" s="229">
        <v>-10</v>
      </c>
      <c r="J15" s="230" t="s">
        <v>8</v>
      </c>
      <c r="K15" s="229"/>
    </row>
    <row r="16" spans="1:11" ht="15" thickBot="1">
      <c r="A16" s="238" t="s">
        <v>43</v>
      </c>
      <c r="B16" s="248">
        <v>460000</v>
      </c>
      <c r="D16" s="226"/>
      <c r="E16" s="26" t="s">
        <v>637</v>
      </c>
      <c r="F16" s="27"/>
      <c r="H16" s="228" t="s">
        <v>34</v>
      </c>
      <c r="I16" s="229">
        <v>-58</v>
      </c>
      <c r="J16" s="230" t="s">
        <v>8</v>
      </c>
      <c r="K16" s="229"/>
    </row>
    <row r="17" spans="1:12" ht="15" thickBot="1">
      <c r="A17" s="240" t="s">
        <v>46</v>
      </c>
      <c r="B17" s="247">
        <f>B16-SUM(B14:B15)</f>
        <v>136404.40999999997</v>
      </c>
      <c r="D17" s="226"/>
      <c r="E17" s="26" t="s">
        <v>646</v>
      </c>
      <c r="F17" s="27"/>
      <c r="H17" s="228" t="s">
        <v>39</v>
      </c>
      <c r="I17" s="229">
        <v>-1.5</v>
      </c>
      <c r="J17" s="230" t="s">
        <v>8</v>
      </c>
      <c r="K17" s="229"/>
    </row>
    <row r="18" spans="1:12" ht="15" thickBot="1">
      <c r="D18" s="226"/>
      <c r="E18" s="26" t="s">
        <v>639</v>
      </c>
      <c r="F18" s="27"/>
      <c r="H18" s="228" t="s">
        <v>479</v>
      </c>
      <c r="I18" s="229">
        <v>-5</v>
      </c>
      <c r="J18" s="230" t="s">
        <v>8</v>
      </c>
      <c r="K18" s="229"/>
    </row>
    <row r="19" spans="1:12" ht="15" thickBot="1">
      <c r="D19" s="226"/>
      <c r="E19" s="26" t="s">
        <v>640</v>
      </c>
      <c r="F19" s="27"/>
      <c r="H19" s="228" t="s">
        <v>68</v>
      </c>
      <c r="I19" s="229">
        <v>-800</v>
      </c>
      <c r="J19" s="230" t="s">
        <v>8</v>
      </c>
      <c r="K19" s="229" t="s">
        <v>502</v>
      </c>
    </row>
    <row r="20" spans="1:12" ht="15" thickBot="1">
      <c r="D20" s="226"/>
      <c r="E20" s="26" t="s">
        <v>63</v>
      </c>
      <c r="F20" s="27"/>
      <c r="H20" s="228" t="s">
        <v>70</v>
      </c>
      <c r="I20" s="229">
        <v>-28</v>
      </c>
      <c r="J20" s="230" t="s">
        <v>8</v>
      </c>
      <c r="K20" s="229" t="s">
        <v>503</v>
      </c>
    </row>
    <row r="21" spans="1:12" ht="15" thickBot="1">
      <c r="D21" s="226"/>
      <c r="E21" s="26" t="s">
        <v>580</v>
      </c>
      <c r="F21" s="27">
        <f>SUM(F15:F20)</f>
        <v>127</v>
      </c>
      <c r="H21" s="228" t="s">
        <v>404</v>
      </c>
      <c r="I21" s="229">
        <v>-14.99</v>
      </c>
      <c r="J21" s="230" t="s">
        <v>8</v>
      </c>
      <c r="K21" s="229"/>
    </row>
    <row r="22" spans="1:12">
      <c r="D22" s="226"/>
      <c r="E22" s="226" t="s">
        <v>73</v>
      </c>
      <c r="H22" s="228" t="s">
        <v>49</v>
      </c>
      <c r="I22" s="229">
        <v>-1170</v>
      </c>
      <c r="J22" s="230" t="s">
        <v>8</v>
      </c>
      <c r="K22" s="229" t="s">
        <v>502</v>
      </c>
    </row>
    <row r="23" spans="1:12">
      <c r="D23" s="226"/>
      <c r="H23" s="228" t="s">
        <v>677</v>
      </c>
      <c r="I23" s="229">
        <v>-70</v>
      </c>
      <c r="J23" s="230" t="s">
        <v>8</v>
      </c>
      <c r="K23" s="229"/>
    </row>
    <row r="24" spans="1:12">
      <c r="H24" s="228" t="s">
        <v>674</v>
      </c>
      <c r="I24" s="229">
        <v>-200</v>
      </c>
      <c r="J24" s="230" t="s">
        <v>8</v>
      </c>
      <c r="K24" s="229" t="s">
        <v>502</v>
      </c>
    </row>
    <row r="25" spans="1:12">
      <c r="H25" s="228" t="s">
        <v>62</v>
      </c>
      <c r="I25" s="229">
        <v>-20</v>
      </c>
      <c r="J25" s="230" t="s">
        <v>8</v>
      </c>
      <c r="K25" s="229"/>
    </row>
    <row r="26" spans="1:12">
      <c r="H26" s="228" t="s">
        <v>55</v>
      </c>
      <c r="I26" s="229">
        <v>-27.7</v>
      </c>
      <c r="J26" s="230" t="s">
        <v>8</v>
      </c>
      <c r="K26" s="229"/>
    </row>
    <row r="27" spans="1:12">
      <c r="H27" s="228" t="s">
        <v>56</v>
      </c>
      <c r="I27" s="229">
        <v>-90</v>
      </c>
      <c r="J27" s="230" t="s">
        <v>8</v>
      </c>
      <c r="K27" s="229" t="s">
        <v>502</v>
      </c>
    </row>
    <row r="28" spans="1:12">
      <c r="H28" s="228" t="s">
        <v>78</v>
      </c>
      <c r="I28" s="229">
        <v>-18</v>
      </c>
      <c r="J28" s="230" t="s">
        <v>8</v>
      </c>
      <c r="K28" s="229"/>
      <c r="L28" s="242"/>
    </row>
    <row r="29" spans="1:12">
      <c r="H29" s="244" t="s">
        <v>656</v>
      </c>
      <c r="I29" s="229">
        <v>-100</v>
      </c>
      <c r="J29" s="230" t="s">
        <v>8</v>
      </c>
      <c r="K29" s="229" t="s">
        <v>503</v>
      </c>
    </row>
    <row r="30" spans="1:12">
      <c r="A30" s="31" t="s">
        <v>509</v>
      </c>
      <c r="H30" s="228" t="s">
        <v>79</v>
      </c>
      <c r="I30" s="229">
        <v>-14.5</v>
      </c>
      <c r="J30" s="230" t="s">
        <v>8</v>
      </c>
      <c r="K30" s="229"/>
    </row>
    <row r="31" spans="1:12" ht="15.5">
      <c r="A31" s="243">
        <v>1104841580</v>
      </c>
      <c r="G31" s="30"/>
      <c r="H31" s="228" t="s">
        <v>80</v>
      </c>
      <c r="I31" s="229">
        <v>-35</v>
      </c>
      <c r="J31" s="230" t="s">
        <v>8</v>
      </c>
      <c r="K31" s="229" t="s">
        <v>502</v>
      </c>
    </row>
    <row r="32" spans="1:12">
      <c r="G32" s="30"/>
      <c r="H32" s="228" t="s">
        <v>144</v>
      </c>
      <c r="I32" s="229">
        <v>-75</v>
      </c>
      <c r="J32" s="230" t="s">
        <v>8</v>
      </c>
      <c r="K32" s="229"/>
    </row>
    <row r="33" spans="7:11">
      <c r="G33" s="30"/>
      <c r="H33" s="228" t="s">
        <v>573</v>
      </c>
      <c r="I33" s="229">
        <v>-25</v>
      </c>
      <c r="J33" s="230" t="s">
        <v>8</v>
      </c>
      <c r="K33" s="244"/>
    </row>
    <row r="34" spans="7:11">
      <c r="G34" s="30"/>
      <c r="H34" s="228" t="s">
        <v>84</v>
      </c>
      <c r="I34" s="229">
        <v>-130</v>
      </c>
      <c r="J34" s="230" t="s">
        <v>8</v>
      </c>
      <c r="K34" s="244"/>
    </row>
    <row r="35" spans="7:11">
      <c r="G35" s="30"/>
      <c r="H35" s="244" t="s">
        <v>636</v>
      </c>
      <c r="I35" s="229">
        <v>-20</v>
      </c>
      <c r="J35" s="230" t="s">
        <v>8</v>
      </c>
      <c r="K35" s="244" t="s">
        <v>503</v>
      </c>
    </row>
    <row r="36" spans="7:11">
      <c r="G36" s="30"/>
      <c r="H36" s="244" t="s">
        <v>626</v>
      </c>
      <c r="I36" s="229">
        <v>-85</v>
      </c>
      <c r="J36" s="230" t="s">
        <v>8</v>
      </c>
      <c r="K36" s="244" t="s">
        <v>502</v>
      </c>
    </row>
    <row r="37" spans="7:11">
      <c r="G37" s="30"/>
      <c r="H37" s="244" t="s">
        <v>63</v>
      </c>
      <c r="I37" s="229">
        <v>-200</v>
      </c>
      <c r="J37" s="230" t="s">
        <v>8</v>
      </c>
      <c r="K37" s="244"/>
    </row>
    <row r="38" spans="7:11">
      <c r="G38" s="30"/>
      <c r="H38" s="244" t="s">
        <v>609</v>
      </c>
      <c r="I38" s="229">
        <v>-8</v>
      </c>
      <c r="J38" s="230" t="s">
        <v>8</v>
      </c>
      <c r="K38" s="244"/>
    </row>
    <row r="39" spans="7:11">
      <c r="G39" s="30"/>
      <c r="H39" s="244" t="s">
        <v>657</v>
      </c>
      <c r="I39" s="229">
        <v>-50</v>
      </c>
      <c r="J39" s="230" t="s">
        <v>8</v>
      </c>
      <c r="K39" s="244"/>
    </row>
    <row r="40" spans="7:11">
      <c r="G40" s="30"/>
      <c r="H40" s="244" t="s">
        <v>57</v>
      </c>
      <c r="I40" s="229">
        <v>-30</v>
      </c>
      <c r="J40" s="230" t="s">
        <v>8</v>
      </c>
      <c r="K40" s="244"/>
    </row>
    <row r="41" spans="7:11">
      <c r="G41" s="30"/>
      <c r="J41" s="230" t="s">
        <v>8</v>
      </c>
      <c r="K41" s="244"/>
    </row>
    <row r="42" spans="7:11">
      <c r="G42" s="30"/>
      <c r="J42" s="230" t="s">
        <v>8</v>
      </c>
      <c r="K42" s="244"/>
    </row>
    <row r="43" spans="7:11">
      <c r="G43" s="30"/>
      <c r="H43" s="244"/>
      <c r="I43" s="229"/>
      <c r="J43" s="230" t="s">
        <v>8</v>
      </c>
      <c r="K43" s="244"/>
    </row>
    <row r="44" spans="7:11">
      <c r="G44" s="30"/>
      <c r="H44" s="244"/>
      <c r="I44" s="229"/>
      <c r="J44" s="230" t="s">
        <v>8</v>
      </c>
      <c r="K44" s="244"/>
    </row>
    <row r="45" spans="7:11">
      <c r="G45" s="30"/>
      <c r="H45" s="244"/>
      <c r="I45" s="229"/>
      <c r="J45" s="230" t="s">
        <v>8</v>
      </c>
      <c r="K45" s="244"/>
    </row>
    <row r="46" spans="7:11">
      <c r="G46" s="30"/>
      <c r="H46" s="244"/>
      <c r="I46" s="229"/>
      <c r="J46" s="230" t="s">
        <v>8</v>
      </c>
      <c r="K46" s="244"/>
    </row>
    <row r="47" spans="7:11">
      <c r="H47" s="244"/>
      <c r="I47" s="229"/>
      <c r="J47" s="230" t="s">
        <v>8</v>
      </c>
      <c r="K47" s="244"/>
    </row>
  </sheetData>
  <conditionalFormatting sqref="H2:I11 H12 H13:I31 H33:I34">
    <cfRule type="expression" dxfId="283" priority="2">
      <formula>#REF!</formula>
    </cfRule>
  </conditionalFormatting>
  <conditionalFormatting sqref="I29 I35:I40 I43:I47">
    <cfRule type="expression" dxfId="282" priority="1">
      <formula>#REF!</formula>
    </cfRule>
  </conditionalFormatting>
  <conditionalFormatting sqref="J2:J47">
    <cfRule type="containsText" dxfId="281" priority="4" operator="containsText" text="No">
      <formula>NOT(ISERROR(SEARCH("No",J2)))</formula>
    </cfRule>
    <cfRule type="containsText" dxfId="280" priority="5" operator="containsText" text="yes">
      <formula>NOT(ISERROR(SEARCH("yes",J2)))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79" priority="10">
      <formula>#REF!</formula>
    </cfRule>
  </conditionalFormatting>
  <conditionalFormatting sqref="J38:J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78" priority="7">
      <formula>#REF!</formula>
    </cfRule>
  </conditionalFormatting>
  <conditionalFormatting sqref="K2:K31">
    <cfRule type="expression" dxfId="277" priority="8">
      <formula>#REF!</formula>
    </cfRule>
  </conditionalFormatting>
  <conditionalFormatting sqref="K2:K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{81D4EEA1-5E4B-41EE-9090-7287EBFE8573}</x14:id>
        </ext>
      </extLst>
    </cfRule>
  </conditionalFormatting>
  <conditionalFormatting sqref="K38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{568BD91D-C9B2-4033-83C8-ACADE018B222}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4EEA1-5E4B-41EE-9090-7287EBFE85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K2:K37</xm:sqref>
        </x14:conditionalFormatting>
        <x14:conditionalFormatting xmlns:xm="http://schemas.microsoft.com/office/excel/2006/main">
          <x14:cfRule type="dataBar" id="{568BD91D-C9B2-4033-83C8-ACADE018B2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K38:K47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04B7-C3F6-4488-8E67-7CD5E282AC4D}">
  <dimension ref="A1:L47"/>
  <sheetViews>
    <sheetView zoomScale="151" zoomScaleNormal="151" workbookViewId="0">
      <selection activeCell="F7" sqref="F7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4" style="226" customWidth="1"/>
    <col min="4" max="4" width="1.08203125" style="32" customWidth="1"/>
    <col min="5" max="5" width="17" style="226" bestFit="1" customWidth="1"/>
    <col min="6" max="6" width="10.5" style="226" customWidth="1"/>
    <col min="7" max="7" width="2.58203125" style="226" customWidth="1"/>
    <col min="8" max="8" width="24" style="226" customWidth="1"/>
    <col min="9" max="9" width="12.5" style="226" customWidth="1"/>
    <col min="10" max="10" width="10.08203125" style="226" customWidth="1"/>
    <col min="11" max="11" width="6.58203125" style="226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D1" s="226"/>
      <c r="E1" s="106" t="s">
        <v>1</v>
      </c>
      <c r="F1" s="31"/>
      <c r="H1" s="120" t="s">
        <v>2</v>
      </c>
      <c r="I1" s="227" t="s">
        <v>3</v>
      </c>
      <c r="J1" s="120" t="s">
        <v>4</v>
      </c>
      <c r="K1" s="227" t="s">
        <v>5</v>
      </c>
    </row>
    <row r="2" spans="1:11">
      <c r="A2" s="213" t="s">
        <v>6</v>
      </c>
      <c r="B2" s="249">
        <v>5237.04</v>
      </c>
      <c r="D2" s="226"/>
      <c r="E2" s="6" t="s">
        <v>520</v>
      </c>
      <c r="F2" s="5">
        <v>1</v>
      </c>
      <c r="H2" s="228" t="s">
        <v>7</v>
      </c>
      <c r="I2" s="229">
        <v>-1268.67</v>
      </c>
      <c r="J2" s="230" t="s">
        <v>87</v>
      </c>
      <c r="K2" s="229"/>
    </row>
    <row r="3" spans="1:11">
      <c r="A3" s="214" t="s">
        <v>9</v>
      </c>
      <c r="B3" s="192">
        <f>SUMIF(J2:J47,"Yes*",I2:I47)</f>
        <v>-5240.45</v>
      </c>
      <c r="D3" s="226"/>
      <c r="E3" s="24"/>
      <c r="F3" s="25"/>
      <c r="H3" s="228" t="s">
        <v>661</v>
      </c>
      <c r="I3" s="229">
        <v>-70</v>
      </c>
      <c r="J3" s="230" t="s">
        <v>87</v>
      </c>
      <c r="K3" s="229" t="s">
        <v>514</v>
      </c>
    </row>
    <row r="4" spans="1:11" outlineLevel="1">
      <c r="A4" s="213" t="s">
        <v>12</v>
      </c>
      <c r="B4" s="249">
        <v>35.86</v>
      </c>
      <c r="D4" s="226"/>
      <c r="E4" s="24" t="s">
        <v>522</v>
      </c>
      <c r="F4" s="25">
        <v>5</v>
      </c>
      <c r="G4" s="231"/>
      <c r="H4" s="228" t="s">
        <v>14</v>
      </c>
      <c r="I4" s="229">
        <v>-39</v>
      </c>
      <c r="J4" s="230" t="s">
        <v>87</v>
      </c>
      <c r="K4" s="229"/>
    </row>
    <row r="5" spans="1:11" ht="15" thickBot="1">
      <c r="A5" s="215" t="s">
        <v>15</v>
      </c>
      <c r="B5" s="200">
        <f>SUMIF(J2:J47,"No",I2:I47)</f>
        <v>-32.5</v>
      </c>
      <c r="D5" s="226"/>
      <c r="E5" s="24" t="s">
        <v>526</v>
      </c>
      <c r="F5" s="25">
        <v>525</v>
      </c>
      <c r="H5" s="228" t="s">
        <v>17</v>
      </c>
      <c r="I5" s="229">
        <v>-35</v>
      </c>
      <c r="J5" s="230" t="s">
        <v>87</v>
      </c>
      <c r="K5" s="229"/>
    </row>
    <row r="6" spans="1:11" ht="15" thickBot="1">
      <c r="A6" s="216" t="s">
        <v>18</v>
      </c>
      <c r="B6" s="29">
        <f>B5+B4</f>
        <v>3.3599999999999994</v>
      </c>
      <c r="D6" s="226" t="s">
        <v>19</v>
      </c>
      <c r="E6" s="24" t="s">
        <v>63</v>
      </c>
      <c r="F6" s="25">
        <v>240</v>
      </c>
      <c r="H6" s="228" t="s">
        <v>21</v>
      </c>
      <c r="I6" s="229">
        <v>-15</v>
      </c>
      <c r="J6" s="230" t="s">
        <v>87</v>
      </c>
      <c r="K6" s="229"/>
    </row>
    <row r="7" spans="1:11">
      <c r="A7" s="217" t="s">
        <v>504</v>
      </c>
      <c r="B7" s="201">
        <f>SUMIF(K2:K47,"f1",I2:I47)</f>
        <v>-2255.9899999999998</v>
      </c>
      <c r="D7" s="30"/>
      <c r="E7" s="24"/>
      <c r="F7" s="25"/>
      <c r="H7" s="228" t="s">
        <v>24</v>
      </c>
      <c r="I7" s="229">
        <v>-185</v>
      </c>
      <c r="J7" s="230" t="s">
        <v>87</v>
      </c>
      <c r="K7" s="229"/>
    </row>
    <row r="8" spans="1:11">
      <c r="A8" s="218" t="s">
        <v>505</v>
      </c>
      <c r="B8" s="194">
        <f>SUMIF(K2:K47,"f2",I2:I47)</f>
        <v>0</v>
      </c>
      <c r="D8" s="30"/>
      <c r="E8" s="24"/>
      <c r="F8" s="25"/>
      <c r="H8" s="228" t="s">
        <v>25</v>
      </c>
      <c r="I8" s="229">
        <v>-40</v>
      </c>
      <c r="J8" s="230" t="s">
        <v>87</v>
      </c>
      <c r="K8" s="229" t="s">
        <v>514</v>
      </c>
    </row>
    <row r="9" spans="1:11">
      <c r="A9" s="218" t="s">
        <v>147</v>
      </c>
      <c r="B9" s="194">
        <f>SUMIF(K2:K47,"",I2:I47)</f>
        <v>-2871.96</v>
      </c>
      <c r="D9" s="226"/>
      <c r="E9" s="24"/>
      <c r="F9" s="25"/>
      <c r="H9" s="228" t="s">
        <v>27</v>
      </c>
      <c r="I9" s="229">
        <v>-22</v>
      </c>
      <c r="J9" s="230" t="s">
        <v>87</v>
      </c>
      <c r="K9" s="229"/>
    </row>
    <row r="10" spans="1:11" ht="15" thickBot="1">
      <c r="A10" s="218" t="s">
        <v>202</v>
      </c>
      <c r="B10" s="194">
        <f>SUMIF(K2:K47,"s",I2:I47)</f>
        <v>-110</v>
      </c>
      <c r="D10" s="226"/>
      <c r="E10" s="24" t="s">
        <v>618</v>
      </c>
      <c r="F10" s="25"/>
      <c r="H10" s="228" t="s">
        <v>575</v>
      </c>
      <c r="I10" s="229">
        <v>-55</v>
      </c>
      <c r="J10" s="230" t="s">
        <v>87</v>
      </c>
      <c r="K10" s="229"/>
    </row>
    <row r="11" spans="1:11" ht="15" thickBot="1">
      <c r="A11" s="237" t="s">
        <v>7</v>
      </c>
      <c r="D11" s="226"/>
      <c r="E11" s="26" t="s">
        <v>28</v>
      </c>
      <c r="F11" s="27">
        <f>SUM(F2:F10)</f>
        <v>771</v>
      </c>
      <c r="H11" s="228" t="s">
        <v>623</v>
      </c>
      <c r="I11" s="229">
        <v>-7.99</v>
      </c>
      <c r="J11" s="230" t="s">
        <v>87</v>
      </c>
      <c r="K11" s="229" t="s">
        <v>502</v>
      </c>
    </row>
    <row r="12" spans="1:11" ht="15" thickBot="1">
      <c r="A12" s="219" t="s">
        <v>35</v>
      </c>
      <c r="B12" s="202">
        <v>151455.79</v>
      </c>
      <c r="C12" s="226" t="s">
        <v>642</v>
      </c>
      <c r="D12" s="226"/>
      <c r="E12" s="26"/>
      <c r="F12" s="27"/>
      <c r="H12" s="228" t="s">
        <v>128</v>
      </c>
      <c r="I12" s="235">
        <v>-8.99</v>
      </c>
      <c r="J12" s="230" t="s">
        <v>87</v>
      </c>
      <c r="K12" s="229"/>
    </row>
    <row r="13" spans="1:11" ht="15" thickBot="1">
      <c r="A13" s="220" t="s">
        <v>37</v>
      </c>
      <c r="B13" s="203">
        <v>80139.8</v>
      </c>
      <c r="C13" s="250">
        <v>4.82E-2</v>
      </c>
      <c r="D13" s="226"/>
      <c r="E13" s="26" t="s">
        <v>543</v>
      </c>
      <c r="F13" s="27">
        <v>22057</v>
      </c>
      <c r="H13" s="228" t="s">
        <v>33</v>
      </c>
      <c r="I13" s="229">
        <v>-239</v>
      </c>
      <c r="J13" s="230" t="s">
        <v>87</v>
      </c>
      <c r="K13" s="229"/>
    </row>
    <row r="14" spans="1:11" ht="15" thickBot="1">
      <c r="A14" s="221" t="s">
        <v>38</v>
      </c>
      <c r="B14" s="204">
        <f>SUM(B12:B13)</f>
        <v>231595.59000000003</v>
      </c>
      <c r="D14" s="226"/>
      <c r="E14" s="27" t="s">
        <v>60</v>
      </c>
      <c r="F14" s="27">
        <v>1011</v>
      </c>
      <c r="H14" s="228" t="s">
        <v>34</v>
      </c>
      <c r="I14" s="229">
        <v>-26</v>
      </c>
      <c r="J14" s="230" t="s">
        <v>8</v>
      </c>
      <c r="K14" s="229"/>
    </row>
    <row r="15" spans="1:11" ht="15" thickBot="1">
      <c r="A15" s="222" t="s">
        <v>40</v>
      </c>
      <c r="B15" s="205">
        <f>B16*0.2</f>
        <v>92000</v>
      </c>
      <c r="D15" s="226"/>
      <c r="E15" s="26" t="s">
        <v>663</v>
      </c>
      <c r="F15" s="27">
        <v>68.260000000000005</v>
      </c>
      <c r="H15" s="228" t="s">
        <v>470</v>
      </c>
      <c r="I15" s="229"/>
      <c r="J15" s="230" t="s">
        <v>8</v>
      </c>
      <c r="K15" s="229"/>
    </row>
    <row r="16" spans="1:11" ht="15" thickBot="1">
      <c r="A16" s="238" t="s">
        <v>43</v>
      </c>
      <c r="B16" s="248">
        <v>460000</v>
      </c>
      <c r="D16" s="226"/>
      <c r="E16" s="26" t="s">
        <v>637</v>
      </c>
      <c r="F16" s="27"/>
      <c r="H16" s="228" t="s">
        <v>34</v>
      </c>
      <c r="I16" s="229">
        <v>-58</v>
      </c>
      <c r="J16" s="230" t="s">
        <v>87</v>
      </c>
      <c r="K16" s="229"/>
    </row>
    <row r="17" spans="1:12" ht="15" thickBot="1">
      <c r="A17" s="240" t="s">
        <v>46</v>
      </c>
      <c r="B17" s="247">
        <f>B16-SUM(B14:B15)</f>
        <v>136404.40999999997</v>
      </c>
      <c r="D17" s="226"/>
      <c r="E17" s="26" t="s">
        <v>646</v>
      </c>
      <c r="F17" s="27"/>
      <c r="H17" s="228" t="s">
        <v>39</v>
      </c>
      <c r="I17" s="229">
        <v>-1.5</v>
      </c>
      <c r="J17" s="230" t="s">
        <v>8</v>
      </c>
      <c r="K17" s="229"/>
    </row>
    <row r="18" spans="1:12" ht="15" thickBot="1">
      <c r="D18" s="226"/>
      <c r="E18" s="26" t="s">
        <v>639</v>
      </c>
      <c r="F18" s="27"/>
      <c r="H18" s="228" t="s">
        <v>479</v>
      </c>
      <c r="I18" s="229">
        <v>-5</v>
      </c>
      <c r="J18" s="230" t="s">
        <v>8</v>
      </c>
      <c r="K18" s="229"/>
    </row>
    <row r="19" spans="1:12" ht="15" thickBot="1">
      <c r="D19" s="226"/>
      <c r="E19" s="26" t="s">
        <v>640</v>
      </c>
      <c r="F19" s="27"/>
      <c r="H19" s="228" t="s">
        <v>68</v>
      </c>
      <c r="I19" s="229">
        <v>-800</v>
      </c>
      <c r="J19" s="230" t="s">
        <v>87</v>
      </c>
      <c r="K19" s="229" t="s">
        <v>502</v>
      </c>
    </row>
    <row r="20" spans="1:12" ht="15" thickBot="1">
      <c r="B20" s="226">
        <v>579</v>
      </c>
      <c r="D20" s="226"/>
      <c r="E20" s="26" t="s">
        <v>63</v>
      </c>
      <c r="F20" s="27"/>
      <c r="H20" s="228" t="s">
        <v>70</v>
      </c>
      <c r="I20" s="229">
        <v>-28</v>
      </c>
      <c r="J20" s="230" t="s">
        <v>87</v>
      </c>
      <c r="K20" s="229" t="s">
        <v>502</v>
      </c>
    </row>
    <row r="21" spans="1:12" ht="15" thickBot="1">
      <c r="B21" s="226" t="s">
        <v>676</v>
      </c>
      <c r="D21" s="226"/>
      <c r="E21" s="26" t="s">
        <v>580</v>
      </c>
      <c r="F21" s="27">
        <f>SUM(F15:F20)</f>
        <v>68.260000000000005</v>
      </c>
      <c r="H21" s="228" t="s">
        <v>404</v>
      </c>
      <c r="I21" s="229">
        <v>-7.6</v>
      </c>
      <c r="J21" s="230" t="s">
        <v>87</v>
      </c>
      <c r="K21" s="229"/>
    </row>
    <row r="22" spans="1:12">
      <c r="B22" s="226">
        <v>334</v>
      </c>
      <c r="D22" s="226"/>
      <c r="E22" s="226" t="s">
        <v>73</v>
      </c>
      <c r="H22" s="228" t="s">
        <v>49</v>
      </c>
      <c r="I22" s="229">
        <v>-930</v>
      </c>
      <c r="J22" s="230" t="s">
        <v>87</v>
      </c>
      <c r="K22" s="229" t="s">
        <v>502</v>
      </c>
    </row>
    <row r="23" spans="1:12">
      <c r="D23" s="226"/>
      <c r="H23" s="228" t="s">
        <v>611</v>
      </c>
      <c r="I23" s="229">
        <v>-210</v>
      </c>
      <c r="J23" s="230" t="s">
        <v>87</v>
      </c>
      <c r="K23" s="229" t="s">
        <v>502</v>
      </c>
    </row>
    <row r="24" spans="1:12">
      <c r="H24" s="228" t="s">
        <v>552</v>
      </c>
      <c r="I24" s="229">
        <v>-131</v>
      </c>
      <c r="J24" s="230" t="s">
        <v>87</v>
      </c>
      <c r="K24" s="229"/>
    </row>
    <row r="25" spans="1:12">
      <c r="H25" s="228" t="s">
        <v>62</v>
      </c>
      <c r="I25" s="229">
        <v>-20</v>
      </c>
      <c r="J25" s="230" t="s">
        <v>87</v>
      </c>
      <c r="K25" s="229"/>
    </row>
    <row r="26" spans="1:12">
      <c r="H26" s="228" t="s">
        <v>55</v>
      </c>
      <c r="I26" s="229">
        <v>-27.7</v>
      </c>
      <c r="J26" s="230" t="s">
        <v>87</v>
      </c>
      <c r="K26" s="229"/>
    </row>
    <row r="27" spans="1:12">
      <c r="H27" s="228" t="s">
        <v>56</v>
      </c>
      <c r="I27" s="229">
        <v>-40</v>
      </c>
      <c r="J27" s="230" t="s">
        <v>87</v>
      </c>
      <c r="K27" s="229" t="s">
        <v>502</v>
      </c>
    </row>
    <row r="28" spans="1:12">
      <c r="H28" s="228" t="s">
        <v>78</v>
      </c>
      <c r="I28" s="229">
        <v>-18</v>
      </c>
      <c r="J28" s="230" t="s">
        <v>87</v>
      </c>
      <c r="K28" s="229"/>
      <c r="L28" s="242"/>
    </row>
    <row r="29" spans="1:12">
      <c r="H29" s="244" t="s">
        <v>63</v>
      </c>
      <c r="I29" s="229">
        <v>-470</v>
      </c>
      <c r="J29" s="230" t="s">
        <v>87</v>
      </c>
      <c r="K29" s="229"/>
    </row>
    <row r="30" spans="1:12">
      <c r="A30" s="31" t="s">
        <v>509</v>
      </c>
      <c r="H30" s="228" t="s">
        <v>79</v>
      </c>
      <c r="I30" s="229">
        <v>-14.5</v>
      </c>
      <c r="J30" s="230" t="s">
        <v>87</v>
      </c>
      <c r="K30" s="229"/>
    </row>
    <row r="31" spans="1:12" ht="15.5">
      <c r="A31" s="243">
        <v>1104841580</v>
      </c>
      <c r="G31" s="30"/>
      <c r="H31" s="228" t="s">
        <v>80</v>
      </c>
      <c r="I31" s="229">
        <v>-35</v>
      </c>
      <c r="J31" s="230" t="s">
        <v>87</v>
      </c>
      <c r="K31" s="229" t="s">
        <v>502</v>
      </c>
    </row>
    <row r="32" spans="1:12">
      <c r="G32" s="30"/>
      <c r="H32" s="228" t="s">
        <v>144</v>
      </c>
      <c r="I32" s="229">
        <v>-60</v>
      </c>
      <c r="J32" s="230" t="s">
        <v>87</v>
      </c>
      <c r="K32" s="229"/>
    </row>
    <row r="33" spans="7:11">
      <c r="G33" s="30"/>
      <c r="H33" s="228" t="s">
        <v>573</v>
      </c>
      <c r="I33" s="229">
        <v>-25</v>
      </c>
      <c r="J33" s="230" t="s">
        <v>87</v>
      </c>
      <c r="K33" s="244" t="s">
        <v>662</v>
      </c>
    </row>
    <row r="34" spans="7:11">
      <c r="G34" s="30"/>
      <c r="H34" s="228" t="s">
        <v>84</v>
      </c>
      <c r="I34" s="229">
        <v>-130</v>
      </c>
      <c r="J34" s="230" t="s">
        <v>87</v>
      </c>
      <c r="K34" s="244"/>
    </row>
    <row r="35" spans="7:11">
      <c r="G35" s="30"/>
      <c r="H35" s="244" t="s">
        <v>636</v>
      </c>
      <c r="I35" s="229">
        <v>-20</v>
      </c>
      <c r="J35" s="230" t="s">
        <v>87</v>
      </c>
      <c r="K35" s="244" t="s">
        <v>502</v>
      </c>
    </row>
    <row r="36" spans="7:11">
      <c r="G36" s="30"/>
      <c r="H36" s="244" t="s">
        <v>626</v>
      </c>
      <c r="I36" s="229">
        <v>-80</v>
      </c>
      <c r="J36" s="230" t="s">
        <v>87</v>
      </c>
      <c r="K36" s="244" t="s">
        <v>502</v>
      </c>
    </row>
    <row r="37" spans="7:11">
      <c r="G37" s="30"/>
      <c r="H37" s="244" t="s">
        <v>660</v>
      </c>
      <c r="I37" s="229">
        <v>-10</v>
      </c>
      <c r="J37" s="230" t="s">
        <v>87</v>
      </c>
      <c r="K37" s="244" t="s">
        <v>662</v>
      </c>
    </row>
    <row r="38" spans="7:11">
      <c r="G38" s="30"/>
      <c r="H38" s="244" t="s">
        <v>609</v>
      </c>
      <c r="I38" s="229">
        <v>-8</v>
      </c>
      <c r="J38" s="230" t="s">
        <v>87</v>
      </c>
      <c r="K38" s="244"/>
    </row>
    <row r="39" spans="7:11">
      <c r="G39" s="30"/>
      <c r="H39" s="244" t="s">
        <v>54</v>
      </c>
      <c r="I39" s="229">
        <v>-75</v>
      </c>
      <c r="J39" s="230" t="s">
        <v>87</v>
      </c>
      <c r="K39" s="244" t="s">
        <v>502</v>
      </c>
    </row>
    <row r="40" spans="7:11">
      <c r="G40" s="30"/>
      <c r="H40" s="244" t="s">
        <v>57</v>
      </c>
      <c r="I40" s="229">
        <v>-30</v>
      </c>
      <c r="J40" s="230" t="s">
        <v>87</v>
      </c>
      <c r="K40" s="244" t="s">
        <v>502</v>
      </c>
    </row>
    <row r="41" spans="7:11">
      <c r="G41" s="30"/>
      <c r="H41" s="226" t="s">
        <v>664</v>
      </c>
      <c r="I41" s="226">
        <v>-10</v>
      </c>
      <c r="J41" s="230" t="s">
        <v>87</v>
      </c>
      <c r="K41" s="244"/>
    </row>
    <row r="42" spans="7:11">
      <c r="G42" s="30"/>
      <c r="H42" s="226" t="s">
        <v>675</v>
      </c>
      <c r="I42" s="226">
        <v>-17</v>
      </c>
      <c r="J42" s="230" t="s">
        <v>87</v>
      </c>
      <c r="K42" s="244"/>
    </row>
    <row r="43" spans="7:11">
      <c r="G43" s="30"/>
      <c r="H43" s="244"/>
      <c r="I43" s="229"/>
      <c r="J43" s="230" t="s">
        <v>8</v>
      </c>
      <c r="K43" s="244"/>
    </row>
    <row r="44" spans="7:11">
      <c r="G44" s="30"/>
      <c r="H44" s="244"/>
      <c r="I44" s="229"/>
      <c r="J44" s="230" t="s">
        <v>8</v>
      </c>
      <c r="K44" s="244"/>
    </row>
    <row r="45" spans="7:11">
      <c r="G45" s="30"/>
      <c r="H45" s="244"/>
      <c r="I45" s="229"/>
      <c r="J45" s="230" t="s">
        <v>8</v>
      </c>
      <c r="K45" s="244"/>
    </row>
    <row r="46" spans="7:11">
      <c r="G46" s="30"/>
      <c r="H46" s="244"/>
      <c r="I46" s="229"/>
      <c r="J46" s="230" t="s">
        <v>8</v>
      </c>
      <c r="K46" s="244"/>
    </row>
    <row r="47" spans="7:11">
      <c r="H47" s="244"/>
      <c r="I47" s="229"/>
      <c r="J47" s="230" t="s">
        <v>8</v>
      </c>
      <c r="K47" s="244"/>
    </row>
  </sheetData>
  <conditionalFormatting sqref="H2:I11 H12 H13:I31 H33:I34">
    <cfRule type="expression" dxfId="276" priority="2">
      <formula>#REF!</formula>
    </cfRule>
  </conditionalFormatting>
  <conditionalFormatting sqref="I29 I35:I40 I43:I47">
    <cfRule type="expression" dxfId="275" priority="1">
      <formula>#REF!</formula>
    </cfRule>
  </conditionalFormatting>
  <conditionalFormatting sqref="J2:J47">
    <cfRule type="containsText" dxfId="274" priority="4" operator="containsText" text="No">
      <formula>NOT(ISERROR(SEARCH("No",J2)))</formula>
    </cfRule>
    <cfRule type="containsText" dxfId="273" priority="5" operator="containsText" text="yes">
      <formula>NOT(ISERROR(SEARCH("yes",J2)))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72" priority="10">
      <formula>#REF!</formula>
    </cfRule>
  </conditionalFormatting>
  <conditionalFormatting sqref="J38:J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71" priority="7">
      <formula>#REF!</formula>
    </cfRule>
  </conditionalFormatting>
  <conditionalFormatting sqref="K2:K31">
    <cfRule type="expression" dxfId="270" priority="8">
      <formula>#REF!</formula>
    </cfRule>
  </conditionalFormatting>
  <conditionalFormatting sqref="K2:K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{5E295C0A-458F-4DDE-B9EF-FD779E971E47}</x14:id>
        </ext>
      </extLst>
    </cfRule>
  </conditionalFormatting>
  <conditionalFormatting sqref="K38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{CFA29789-466B-4715-888D-9AFD2D30FBB4}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295C0A-458F-4DDE-B9EF-FD779E971E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K2:K37</xm:sqref>
        </x14:conditionalFormatting>
        <x14:conditionalFormatting xmlns:xm="http://schemas.microsoft.com/office/excel/2006/main">
          <x14:cfRule type="dataBar" id="{CFA29789-466B-4715-888D-9AFD2D30FB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K38:K47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78D0-BB73-42DB-B0F4-1B55E982AB4C}">
  <dimension ref="A1:L47"/>
  <sheetViews>
    <sheetView zoomScale="145" zoomScaleNormal="145" workbookViewId="0">
      <selection activeCell="I2" sqref="I2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4" style="226" customWidth="1"/>
    <col min="4" max="4" width="1.08203125" style="32" customWidth="1"/>
    <col min="5" max="5" width="17" style="226" bestFit="1" customWidth="1"/>
    <col min="6" max="6" width="10.5" style="226" customWidth="1"/>
    <col min="7" max="7" width="2.58203125" style="226" customWidth="1"/>
    <col min="8" max="8" width="24" style="226" customWidth="1"/>
    <col min="9" max="9" width="12.5" style="226" customWidth="1"/>
    <col min="10" max="10" width="10.08203125" style="226" customWidth="1"/>
    <col min="11" max="11" width="6.58203125" style="226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D1" s="226"/>
      <c r="E1" s="106" t="s">
        <v>1</v>
      </c>
      <c r="F1" s="31"/>
      <c r="H1" s="120" t="s">
        <v>2</v>
      </c>
      <c r="I1" s="227" t="s">
        <v>3</v>
      </c>
      <c r="J1" s="120" t="s">
        <v>4</v>
      </c>
      <c r="K1" s="227" t="s">
        <v>5</v>
      </c>
    </row>
    <row r="2" spans="1:11">
      <c r="A2" s="213" t="s">
        <v>6</v>
      </c>
      <c r="B2" s="249">
        <v>5223.8500000000004</v>
      </c>
      <c r="D2" s="226"/>
      <c r="E2" s="6" t="s">
        <v>520</v>
      </c>
      <c r="F2" s="5"/>
      <c r="H2" s="228" t="s">
        <v>7</v>
      </c>
      <c r="I2" s="229">
        <v>-1268.67</v>
      </c>
      <c r="J2" s="230" t="s">
        <v>87</v>
      </c>
      <c r="K2" s="229"/>
    </row>
    <row r="3" spans="1:11">
      <c r="A3" s="214" t="s">
        <v>9</v>
      </c>
      <c r="B3" s="192">
        <f>SUMIF(J2:J47,"Yes*",I2:I47)</f>
        <v>-5201.3499999999995</v>
      </c>
      <c r="D3" s="226"/>
      <c r="E3" s="24"/>
      <c r="F3" s="25"/>
      <c r="H3" s="228" t="s">
        <v>485</v>
      </c>
      <c r="I3" s="229">
        <v>-200</v>
      </c>
      <c r="J3" s="230" t="s">
        <v>87</v>
      </c>
      <c r="K3" s="229" t="s">
        <v>514</v>
      </c>
    </row>
    <row r="4" spans="1:11" outlineLevel="1">
      <c r="A4" s="213" t="s">
        <v>12</v>
      </c>
      <c r="B4" s="249">
        <v>84.44</v>
      </c>
      <c r="D4" s="226"/>
      <c r="E4" s="24" t="s">
        <v>522</v>
      </c>
      <c r="F4" s="25">
        <v>60</v>
      </c>
      <c r="G4" s="231"/>
      <c r="H4" s="228" t="s">
        <v>14</v>
      </c>
      <c r="I4" s="229">
        <v>-39</v>
      </c>
      <c r="J4" s="230" t="s">
        <v>87</v>
      </c>
      <c r="K4" s="229"/>
    </row>
    <row r="5" spans="1:11" ht="15" thickBot="1">
      <c r="A5" s="215" t="s">
        <v>15</v>
      </c>
      <c r="B5" s="200">
        <f>SUMIF(J2:J47,"No",I2:I47)</f>
        <v>-80</v>
      </c>
      <c r="D5" s="226"/>
      <c r="E5" s="24" t="s">
        <v>526</v>
      </c>
      <c r="F5" s="25">
        <v>580</v>
      </c>
      <c r="H5" s="228" t="s">
        <v>17</v>
      </c>
      <c r="I5" s="229">
        <v>-39</v>
      </c>
      <c r="J5" s="230" t="s">
        <v>87</v>
      </c>
      <c r="K5" s="229"/>
    </row>
    <row r="6" spans="1:11" ht="15" thickBot="1">
      <c r="A6" s="216" t="s">
        <v>18</v>
      </c>
      <c r="B6" s="29">
        <f>B5+B4</f>
        <v>4.4399999999999977</v>
      </c>
      <c r="D6" s="226" t="s">
        <v>19</v>
      </c>
      <c r="E6" s="24" t="s">
        <v>63</v>
      </c>
      <c r="F6" s="25">
        <v>185</v>
      </c>
      <c r="H6" s="228" t="s">
        <v>21</v>
      </c>
      <c r="I6" s="229">
        <v>-15</v>
      </c>
      <c r="J6" s="230" t="s">
        <v>87</v>
      </c>
      <c r="K6" s="229"/>
    </row>
    <row r="7" spans="1:11">
      <c r="A7" s="217" t="s">
        <v>504</v>
      </c>
      <c r="B7" s="201">
        <f>SUMIF(K2:K47,"f1",I2:I47)</f>
        <v>-2031</v>
      </c>
      <c r="D7" s="30"/>
      <c r="E7" s="24"/>
      <c r="F7" s="25"/>
      <c r="H7" s="228" t="s">
        <v>24</v>
      </c>
      <c r="I7" s="229">
        <v>-185</v>
      </c>
      <c r="J7" s="230" t="s">
        <v>87</v>
      </c>
      <c r="K7" s="229"/>
    </row>
    <row r="8" spans="1:11">
      <c r="A8" s="218" t="s">
        <v>505</v>
      </c>
      <c r="B8" s="194">
        <f>SUMIF(K2:K47,"f2",I2:I47)</f>
        <v>-480</v>
      </c>
      <c r="D8" s="30"/>
      <c r="E8" s="24"/>
      <c r="F8" s="25"/>
      <c r="H8" s="228" t="s">
        <v>25</v>
      </c>
      <c r="I8" s="229">
        <v>-20</v>
      </c>
      <c r="J8" s="230" t="s">
        <v>87</v>
      </c>
      <c r="K8" s="229" t="s">
        <v>514</v>
      </c>
    </row>
    <row r="9" spans="1:11">
      <c r="A9" s="218" t="s">
        <v>147</v>
      </c>
      <c r="B9" s="194">
        <f>SUMIF(K2:K47,"",I2:I47)</f>
        <v>-2550.35</v>
      </c>
      <c r="D9" s="226"/>
      <c r="E9" s="24"/>
      <c r="F9" s="25"/>
      <c r="H9" s="228" t="s">
        <v>27</v>
      </c>
      <c r="I9" s="229">
        <v>-20</v>
      </c>
      <c r="J9" s="230" t="s">
        <v>87</v>
      </c>
      <c r="K9" s="229"/>
    </row>
    <row r="10" spans="1:11" ht="15" thickBot="1">
      <c r="A10" s="218" t="s">
        <v>202</v>
      </c>
      <c r="B10" s="194">
        <f>SUMIF(K2:K47,"s",I2:I47)</f>
        <v>-220</v>
      </c>
      <c r="D10" s="226"/>
      <c r="E10" s="24" t="s">
        <v>618</v>
      </c>
      <c r="F10" s="25"/>
      <c r="H10" s="228" t="s">
        <v>575</v>
      </c>
      <c r="I10" s="229">
        <v>-55</v>
      </c>
      <c r="J10" s="230" t="s">
        <v>87</v>
      </c>
      <c r="K10" s="229"/>
    </row>
    <row r="11" spans="1:11" ht="15" thickBot="1">
      <c r="A11" s="237" t="s">
        <v>7</v>
      </c>
      <c r="D11" s="226"/>
      <c r="E11" s="26" t="s">
        <v>28</v>
      </c>
      <c r="F11" s="27">
        <f>SUM(F2:F10)</f>
        <v>825</v>
      </c>
      <c r="H11" s="228" t="s">
        <v>623</v>
      </c>
      <c r="I11" s="229">
        <v>-8</v>
      </c>
      <c r="J11" s="230" t="s">
        <v>87</v>
      </c>
      <c r="K11" s="229" t="s">
        <v>502</v>
      </c>
    </row>
    <row r="12" spans="1:11" ht="15" thickBot="1">
      <c r="A12" s="219" t="s">
        <v>35</v>
      </c>
      <c r="B12" s="202">
        <v>150603.12</v>
      </c>
      <c r="C12" s="226" t="s">
        <v>642</v>
      </c>
      <c r="D12" s="226"/>
      <c r="E12" s="26" t="s">
        <v>527</v>
      </c>
      <c r="F12" s="27">
        <v>1011</v>
      </c>
      <c r="H12" s="228" t="s">
        <v>128</v>
      </c>
      <c r="I12" s="235">
        <v>-8.99</v>
      </c>
      <c r="J12" s="230" t="s">
        <v>87</v>
      </c>
      <c r="K12" s="229"/>
    </row>
    <row r="13" spans="1:11" ht="15" thickBot="1">
      <c r="A13" s="220" t="s">
        <v>37</v>
      </c>
      <c r="B13" s="203">
        <v>79688.61</v>
      </c>
      <c r="C13" s="250">
        <v>4.82E-2</v>
      </c>
      <c r="D13" s="226"/>
      <c r="E13" s="26" t="s">
        <v>543</v>
      </c>
      <c r="F13" s="27">
        <v>22586.69</v>
      </c>
      <c r="H13" s="228" t="s">
        <v>33</v>
      </c>
      <c r="I13" s="229">
        <v>-239</v>
      </c>
      <c r="J13" s="230" t="s">
        <v>87</v>
      </c>
      <c r="K13" s="229"/>
    </row>
    <row r="14" spans="1:11" ht="15" thickBot="1">
      <c r="A14" s="221" t="s">
        <v>38</v>
      </c>
      <c r="B14" s="204">
        <f>SUM(B12:B13)</f>
        <v>230291.72999999998</v>
      </c>
      <c r="D14" s="226"/>
      <c r="E14" s="27" t="s">
        <v>658</v>
      </c>
      <c r="F14" s="27">
        <v>69.28</v>
      </c>
      <c r="H14" s="228" t="s">
        <v>34</v>
      </c>
      <c r="I14" s="229">
        <v>-13</v>
      </c>
      <c r="J14" s="230" t="s">
        <v>87</v>
      </c>
      <c r="K14" s="229"/>
    </row>
    <row r="15" spans="1:11" ht="15" thickBot="1">
      <c r="A15" s="222" t="s">
        <v>40</v>
      </c>
      <c r="B15" s="205">
        <f>B16*0.2</f>
        <v>92000</v>
      </c>
      <c r="D15" s="226"/>
      <c r="E15" s="26"/>
      <c r="F15" s="27"/>
      <c r="H15" s="228" t="s">
        <v>470</v>
      </c>
      <c r="I15" s="229">
        <v>-10</v>
      </c>
      <c r="J15" s="230" t="s">
        <v>87</v>
      </c>
      <c r="K15" s="229"/>
    </row>
    <row r="16" spans="1:11" ht="15" thickBot="1">
      <c r="A16" s="238" t="s">
        <v>43</v>
      </c>
      <c r="B16" s="248">
        <v>460000</v>
      </c>
      <c r="D16" s="226"/>
      <c r="E16" s="26" t="s">
        <v>637</v>
      </c>
      <c r="F16" s="27"/>
      <c r="H16" s="228" t="s">
        <v>34</v>
      </c>
      <c r="I16" s="229">
        <v>-58</v>
      </c>
      <c r="J16" s="230" t="s">
        <v>87</v>
      </c>
      <c r="K16" s="229"/>
    </row>
    <row r="17" spans="1:12" ht="15" thickBot="1">
      <c r="A17" s="240" t="s">
        <v>46</v>
      </c>
      <c r="B17" s="247">
        <f>B16-SUM(B14:B15)</f>
        <v>137708.27000000002</v>
      </c>
      <c r="D17" s="226"/>
      <c r="E17" s="26" t="s">
        <v>646</v>
      </c>
      <c r="F17" s="27"/>
      <c r="H17" s="228" t="s">
        <v>39</v>
      </c>
      <c r="I17" s="229">
        <v>-1.5</v>
      </c>
      <c r="J17" s="230" t="s">
        <v>87</v>
      </c>
      <c r="K17" s="229"/>
    </row>
    <row r="18" spans="1:12" ht="15" thickBot="1">
      <c r="D18" s="226"/>
      <c r="E18" s="26"/>
      <c r="F18" s="27"/>
      <c r="H18" s="228" t="s">
        <v>479</v>
      </c>
      <c r="I18" s="229">
        <v>-5</v>
      </c>
      <c r="J18" s="230" t="s">
        <v>8</v>
      </c>
      <c r="K18" s="229"/>
    </row>
    <row r="19" spans="1:12" ht="15" thickBot="1">
      <c r="D19" s="226"/>
      <c r="E19" s="26"/>
      <c r="F19" s="27"/>
      <c r="H19" s="228" t="s">
        <v>68</v>
      </c>
      <c r="I19" s="229">
        <v>-800</v>
      </c>
      <c r="J19" s="230" t="s">
        <v>87</v>
      </c>
      <c r="K19" s="229" t="s">
        <v>502</v>
      </c>
    </row>
    <row r="20" spans="1:12" ht="15" thickBot="1">
      <c r="D20" s="226"/>
      <c r="E20" s="26" t="s">
        <v>63</v>
      </c>
      <c r="F20" s="27"/>
      <c r="H20" s="228" t="s">
        <v>70</v>
      </c>
      <c r="I20" s="229">
        <v>-28</v>
      </c>
      <c r="J20" s="230" t="s">
        <v>87</v>
      </c>
      <c r="K20" s="229" t="s">
        <v>502</v>
      </c>
    </row>
    <row r="21" spans="1:12" ht="15" thickBot="1">
      <c r="D21" s="226"/>
      <c r="E21" s="26" t="s">
        <v>362</v>
      </c>
      <c r="F21" s="27">
        <f>SUM(F11:F15)</f>
        <v>24491.969999999998</v>
      </c>
      <c r="H21" s="228" t="s">
        <v>404</v>
      </c>
      <c r="I21" s="229">
        <v>-14.99</v>
      </c>
      <c r="J21" s="230" t="s">
        <v>87</v>
      </c>
      <c r="K21" s="229"/>
    </row>
    <row r="22" spans="1:12">
      <c r="D22" s="226"/>
      <c r="E22" s="226" t="s">
        <v>73</v>
      </c>
      <c r="H22" s="228" t="s">
        <v>49</v>
      </c>
      <c r="I22" s="229">
        <v>-920</v>
      </c>
      <c r="J22" s="230" t="s">
        <v>87</v>
      </c>
      <c r="K22" s="229" t="s">
        <v>502</v>
      </c>
    </row>
    <row r="23" spans="1:12">
      <c r="D23" s="226"/>
      <c r="H23" s="228" t="s">
        <v>566</v>
      </c>
      <c r="I23" s="229">
        <v>-75</v>
      </c>
      <c r="J23" s="230" t="s">
        <v>8</v>
      </c>
      <c r="K23" s="229"/>
    </row>
    <row r="24" spans="1:12">
      <c r="H24" s="228" t="s">
        <v>552</v>
      </c>
      <c r="I24" s="229"/>
      <c r="J24" s="230" t="s">
        <v>8</v>
      </c>
      <c r="K24" s="229" t="s">
        <v>502</v>
      </c>
    </row>
    <row r="25" spans="1:12">
      <c r="H25" s="228" t="s">
        <v>62</v>
      </c>
      <c r="I25" s="229">
        <v>-20</v>
      </c>
      <c r="J25" s="230" t="s">
        <v>87</v>
      </c>
      <c r="K25" s="229"/>
    </row>
    <row r="26" spans="1:12">
      <c r="H26" s="228" t="s">
        <v>55</v>
      </c>
      <c r="I26" s="229">
        <v>-27.7</v>
      </c>
      <c r="J26" s="230" t="s">
        <v>87</v>
      </c>
      <c r="K26" s="229"/>
    </row>
    <row r="27" spans="1:12">
      <c r="H27" s="228" t="s">
        <v>56</v>
      </c>
      <c r="I27" s="229">
        <v>-70</v>
      </c>
      <c r="J27" s="230" t="s">
        <v>87</v>
      </c>
      <c r="K27" s="229" t="s">
        <v>502</v>
      </c>
    </row>
    <row r="28" spans="1:12">
      <c r="H28" s="228" t="s">
        <v>78</v>
      </c>
      <c r="I28" s="229">
        <v>-18</v>
      </c>
      <c r="J28" s="230" t="s">
        <v>87</v>
      </c>
      <c r="K28" s="229"/>
      <c r="L28" s="242"/>
    </row>
    <row r="29" spans="1:12">
      <c r="H29" s="244" t="s">
        <v>63</v>
      </c>
      <c r="I29" s="229">
        <v>-480</v>
      </c>
      <c r="J29" s="230" t="s">
        <v>87</v>
      </c>
      <c r="K29" s="229" t="s">
        <v>503</v>
      </c>
    </row>
    <row r="30" spans="1:12">
      <c r="A30" s="31" t="s">
        <v>509</v>
      </c>
      <c r="H30" s="228" t="s">
        <v>79</v>
      </c>
      <c r="I30" s="229">
        <v>-14.5</v>
      </c>
      <c r="J30" s="230" t="s">
        <v>87</v>
      </c>
      <c r="K30" s="229"/>
    </row>
    <row r="31" spans="1:12" ht="15.5">
      <c r="A31" s="243">
        <v>1104841580</v>
      </c>
      <c r="G31" s="30"/>
      <c r="H31" s="228" t="s">
        <v>80</v>
      </c>
      <c r="I31" s="229">
        <v>-35</v>
      </c>
      <c r="J31" s="230" t="s">
        <v>87</v>
      </c>
      <c r="K31" s="229" t="s">
        <v>502</v>
      </c>
    </row>
    <row r="32" spans="1:12">
      <c r="G32" s="30"/>
      <c r="H32" s="228" t="s">
        <v>144</v>
      </c>
      <c r="I32" s="229">
        <v>-80</v>
      </c>
      <c r="J32" s="230" t="s">
        <v>87</v>
      </c>
      <c r="K32" s="229"/>
    </row>
    <row r="33" spans="7:11">
      <c r="G33" s="30"/>
      <c r="H33" s="228" t="s">
        <v>573</v>
      </c>
      <c r="I33" s="229">
        <v>-25</v>
      </c>
      <c r="J33" s="230" t="s">
        <v>87</v>
      </c>
      <c r="K33" s="244"/>
    </row>
    <row r="34" spans="7:11">
      <c r="G34" s="30"/>
      <c r="H34" s="228" t="s">
        <v>84</v>
      </c>
      <c r="I34" s="229">
        <v>-130</v>
      </c>
      <c r="J34" s="230" t="s">
        <v>87</v>
      </c>
      <c r="K34" s="244"/>
    </row>
    <row r="35" spans="7:11">
      <c r="G35" s="30"/>
      <c r="H35" s="244" t="s">
        <v>636</v>
      </c>
      <c r="I35" s="229">
        <v>-20</v>
      </c>
      <c r="J35" s="230" t="s">
        <v>87</v>
      </c>
      <c r="K35" s="244" t="s">
        <v>502</v>
      </c>
    </row>
    <row r="36" spans="7:11">
      <c r="G36" s="30"/>
      <c r="H36" s="244" t="s">
        <v>626</v>
      </c>
      <c r="I36" s="229">
        <v>-20</v>
      </c>
      <c r="J36" s="230" t="s">
        <v>87</v>
      </c>
      <c r="K36" s="244" t="s">
        <v>502</v>
      </c>
    </row>
    <row r="37" spans="7:11">
      <c r="G37" s="30"/>
      <c r="H37" s="244" t="s">
        <v>643</v>
      </c>
      <c r="I37" s="229">
        <v>-100</v>
      </c>
      <c r="J37" s="230" t="s">
        <v>87</v>
      </c>
      <c r="K37" s="244" t="s">
        <v>502</v>
      </c>
    </row>
    <row r="38" spans="7:11">
      <c r="G38" s="30"/>
      <c r="H38" s="244" t="s">
        <v>609</v>
      </c>
      <c r="I38" s="229">
        <v>-8</v>
      </c>
      <c r="J38" s="230" t="s">
        <v>87</v>
      </c>
      <c r="K38" s="244"/>
    </row>
    <row r="39" spans="7:11">
      <c r="G39" s="30"/>
      <c r="H39" s="244" t="s">
        <v>98</v>
      </c>
      <c r="I39" s="229">
        <v>-100</v>
      </c>
      <c r="J39" s="230" t="s">
        <v>87</v>
      </c>
      <c r="K39" s="244"/>
    </row>
    <row r="40" spans="7:11">
      <c r="G40" s="30"/>
      <c r="H40" s="244" t="s">
        <v>57</v>
      </c>
      <c r="I40" s="229">
        <v>-30</v>
      </c>
      <c r="J40" s="230" t="s">
        <v>87</v>
      </c>
      <c r="K40" s="244" t="s">
        <v>502</v>
      </c>
    </row>
    <row r="41" spans="7:11">
      <c r="G41" s="30"/>
      <c r="H41" s="226" t="s">
        <v>649</v>
      </c>
      <c r="I41" s="226">
        <v>-80</v>
      </c>
      <c r="J41" s="230" t="s">
        <v>87</v>
      </c>
      <c r="K41" s="244"/>
    </row>
    <row r="42" spans="7:11">
      <c r="G42" s="30"/>
      <c r="J42" s="230"/>
      <c r="K42" s="244"/>
    </row>
    <row r="43" spans="7:11">
      <c r="G43" s="30"/>
      <c r="H43" s="244"/>
      <c r="I43" s="229"/>
      <c r="J43" s="230" t="s">
        <v>8</v>
      </c>
      <c r="K43" s="244"/>
    </row>
    <row r="44" spans="7:11">
      <c r="G44" s="30"/>
      <c r="H44" s="244"/>
      <c r="I44" s="229"/>
      <c r="J44" s="230" t="s">
        <v>8</v>
      </c>
      <c r="K44" s="244"/>
    </row>
    <row r="45" spans="7:11">
      <c r="G45" s="30"/>
      <c r="H45" s="244"/>
      <c r="I45" s="229"/>
      <c r="J45" s="230" t="s">
        <v>8</v>
      </c>
      <c r="K45" s="244"/>
    </row>
    <row r="46" spans="7:11">
      <c r="G46" s="30"/>
      <c r="H46" s="244"/>
      <c r="I46" s="229"/>
      <c r="J46" s="230" t="s">
        <v>8</v>
      </c>
      <c r="K46" s="244"/>
    </row>
    <row r="47" spans="7:11">
      <c r="H47" s="244"/>
      <c r="I47" s="229"/>
      <c r="J47" s="230" t="s">
        <v>8</v>
      </c>
      <c r="K47" s="244"/>
    </row>
  </sheetData>
  <conditionalFormatting sqref="H2:I11 H12 H13:I31 H33:I34">
    <cfRule type="expression" dxfId="269" priority="2">
      <formula>#REF!</formula>
    </cfRule>
  </conditionalFormatting>
  <conditionalFormatting sqref="I29 I35:I40 I43:I47">
    <cfRule type="expression" dxfId="268" priority="1">
      <formula>#REF!</formula>
    </cfRule>
  </conditionalFormatting>
  <conditionalFormatting sqref="J2:J47">
    <cfRule type="containsText" dxfId="267" priority="4" operator="containsText" text="No">
      <formula>NOT(ISERROR(SEARCH("No",J2)))</formula>
    </cfRule>
    <cfRule type="containsText" dxfId="266" priority="5" operator="containsText" text="yes">
      <formula>NOT(ISERROR(SEARCH("yes",J2)))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65" priority="10">
      <formula>#REF!</formula>
    </cfRule>
  </conditionalFormatting>
  <conditionalFormatting sqref="J38:J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64" priority="7">
      <formula>#REF!</formula>
    </cfRule>
  </conditionalFormatting>
  <conditionalFormatting sqref="K2:K31">
    <cfRule type="expression" dxfId="263" priority="8">
      <formula>#REF!</formula>
    </cfRule>
  </conditionalFormatting>
  <conditionalFormatting sqref="K2:K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{20F645CC-9E62-4F55-A83E-21A1FAF27119}</x14:id>
        </ext>
      </extLst>
    </cfRule>
  </conditionalFormatting>
  <conditionalFormatting sqref="K38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{5BB6887F-7D6C-4495-B3B6-6A3FF7F07512}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F645CC-9E62-4F55-A83E-21A1FAF271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K2:K37</xm:sqref>
        </x14:conditionalFormatting>
        <x14:conditionalFormatting xmlns:xm="http://schemas.microsoft.com/office/excel/2006/main">
          <x14:cfRule type="dataBar" id="{5BB6887F-7D6C-4495-B3B6-6A3FF7F07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K38:K47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5E94-CBCE-4AF7-883E-097B7016814E}">
  <dimension ref="A1:L47"/>
  <sheetViews>
    <sheetView zoomScale="145" zoomScaleNormal="145" workbookViewId="0">
      <selection activeCell="J42" sqref="J42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4" style="226" customWidth="1"/>
    <col min="4" max="4" width="1.08203125" style="32" customWidth="1"/>
    <col min="5" max="5" width="17" style="226" bestFit="1" customWidth="1"/>
    <col min="6" max="6" width="10.5" style="226" customWidth="1"/>
    <col min="7" max="7" width="2.58203125" style="226" customWidth="1"/>
    <col min="8" max="8" width="24" style="226" customWidth="1"/>
    <col min="9" max="9" width="12.5" style="226" customWidth="1"/>
    <col min="10" max="10" width="10.08203125" style="226" customWidth="1"/>
    <col min="11" max="11" width="6.58203125" style="226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D1" s="226"/>
      <c r="E1" s="106" t="s">
        <v>1</v>
      </c>
      <c r="F1" s="31"/>
      <c r="H1" s="120" t="s">
        <v>2</v>
      </c>
      <c r="I1" s="227" t="s">
        <v>3</v>
      </c>
      <c r="J1" s="120" t="s">
        <v>4</v>
      </c>
      <c r="K1" s="227" t="s">
        <v>5</v>
      </c>
    </row>
    <row r="2" spans="1:11">
      <c r="A2" s="213" t="s">
        <v>6</v>
      </c>
      <c r="B2" s="249">
        <v>5251.07</v>
      </c>
      <c r="D2" s="226"/>
      <c r="E2" s="6" t="s">
        <v>520</v>
      </c>
      <c r="F2" s="5">
        <v>50</v>
      </c>
      <c r="H2" s="228" t="s">
        <v>7</v>
      </c>
      <c r="I2" s="229">
        <v>-1268.67</v>
      </c>
      <c r="J2" s="230" t="s">
        <v>87</v>
      </c>
      <c r="K2" s="229"/>
    </row>
    <row r="3" spans="1:11">
      <c r="A3" s="214" t="s">
        <v>9</v>
      </c>
      <c r="B3" s="192">
        <f>SUMIF(J2:J47,"Yes*",I2:I47)</f>
        <v>-5502.3399999999992</v>
      </c>
      <c r="D3" s="226"/>
      <c r="E3" s="24"/>
      <c r="F3" s="25"/>
      <c r="H3" s="228"/>
      <c r="I3" s="229"/>
      <c r="J3" s="230" t="s">
        <v>8</v>
      </c>
      <c r="K3" s="229" t="s">
        <v>514</v>
      </c>
    </row>
    <row r="4" spans="1:11" outlineLevel="1">
      <c r="A4" s="213" t="s">
        <v>12</v>
      </c>
      <c r="B4" s="249">
        <v>7.85</v>
      </c>
      <c r="D4" s="226"/>
      <c r="E4" s="24" t="s">
        <v>522</v>
      </c>
      <c r="F4" s="25">
        <v>110</v>
      </c>
      <c r="G4" s="231"/>
      <c r="H4" s="228" t="s">
        <v>14</v>
      </c>
      <c r="I4" s="229">
        <v>-39</v>
      </c>
      <c r="J4" s="230" t="s">
        <v>87</v>
      </c>
      <c r="K4" s="229"/>
    </row>
    <row r="5" spans="1:11" ht="15" thickBot="1">
      <c r="A5" s="215" t="s">
        <v>15</v>
      </c>
      <c r="B5" s="200">
        <f>SUMIF(J2:J47,"No",I2:I47)</f>
        <v>-5</v>
      </c>
      <c r="D5" s="226"/>
      <c r="E5" s="24" t="s">
        <v>526</v>
      </c>
      <c r="F5" s="25">
        <v>520</v>
      </c>
      <c r="H5" s="228" t="s">
        <v>17</v>
      </c>
      <c r="I5" s="229">
        <v>-39</v>
      </c>
      <c r="J5" s="230" t="s">
        <v>87</v>
      </c>
      <c r="K5" s="229"/>
    </row>
    <row r="6" spans="1:11" ht="15" thickBot="1">
      <c r="A6" s="216" t="s">
        <v>18</v>
      </c>
      <c r="B6" s="29">
        <f>B5+B4</f>
        <v>2.8499999999999996</v>
      </c>
      <c r="D6" s="226" t="s">
        <v>19</v>
      </c>
      <c r="E6" s="24" t="s">
        <v>63</v>
      </c>
      <c r="F6" s="25">
        <v>488</v>
      </c>
      <c r="H6" s="228" t="s">
        <v>21</v>
      </c>
      <c r="I6" s="229">
        <v>-15</v>
      </c>
      <c r="J6" s="230" t="s">
        <v>87</v>
      </c>
      <c r="K6" s="229"/>
    </row>
    <row r="7" spans="1:11">
      <c r="A7" s="217" t="s">
        <v>504</v>
      </c>
      <c r="B7" s="201">
        <f>SUMIF(K2:K47,"f1",I2:I47)</f>
        <v>-2550.9899999999998</v>
      </c>
      <c r="D7" s="30"/>
      <c r="E7" s="24"/>
      <c r="F7" s="25"/>
      <c r="H7" s="228" t="s">
        <v>24</v>
      </c>
      <c r="I7" s="229">
        <v>-185</v>
      </c>
      <c r="J7" s="230" t="s">
        <v>87</v>
      </c>
      <c r="K7" s="229"/>
    </row>
    <row r="8" spans="1:11">
      <c r="A8" s="218" t="s">
        <v>505</v>
      </c>
      <c r="B8" s="194">
        <f>SUMIF(K2:K47,"f2",I2:I47)</f>
        <v>-220</v>
      </c>
      <c r="D8" s="30"/>
      <c r="E8" s="24" t="s">
        <v>622</v>
      </c>
      <c r="F8" s="25"/>
      <c r="H8" s="228" t="s">
        <v>25</v>
      </c>
      <c r="I8" s="229"/>
      <c r="J8" s="230" t="s">
        <v>8</v>
      </c>
      <c r="K8" s="229" t="s">
        <v>514</v>
      </c>
    </row>
    <row r="9" spans="1:11">
      <c r="A9" s="218" t="s">
        <v>147</v>
      </c>
      <c r="B9" s="194">
        <f>SUMIF(K2:K47,"",I2:I47)</f>
        <v>-2736.35</v>
      </c>
      <c r="D9" s="226"/>
      <c r="E9" s="24"/>
      <c r="F9" s="25"/>
      <c r="H9" s="228" t="s">
        <v>27</v>
      </c>
      <c r="I9" s="229">
        <v>-20</v>
      </c>
      <c r="J9" s="230" t="s">
        <v>87</v>
      </c>
      <c r="K9" s="229"/>
    </row>
    <row r="10" spans="1:11" ht="15" thickBot="1">
      <c r="A10" s="218" t="s">
        <v>202</v>
      </c>
      <c r="B10" s="194">
        <f>SUMIF(K2:K47,"s",I2:I47)</f>
        <v>0</v>
      </c>
      <c r="D10" s="226"/>
      <c r="E10" s="24" t="s">
        <v>618</v>
      </c>
      <c r="F10" s="25"/>
      <c r="H10" s="228" t="s">
        <v>575</v>
      </c>
      <c r="I10" s="229">
        <v>-55</v>
      </c>
      <c r="J10" s="230" t="s">
        <v>87</v>
      </c>
      <c r="K10" s="229"/>
    </row>
    <row r="11" spans="1:11" ht="15" thickBot="1">
      <c r="A11" s="237" t="s">
        <v>7</v>
      </c>
      <c r="D11" s="226"/>
      <c r="E11" s="26" t="s">
        <v>28</v>
      </c>
      <c r="F11" s="27">
        <f>SUM(F2:F10)</f>
        <v>1168</v>
      </c>
      <c r="H11" s="228" t="s">
        <v>623</v>
      </c>
      <c r="I11" s="229">
        <v>-7.99</v>
      </c>
      <c r="J11" s="230" t="s">
        <v>87</v>
      </c>
      <c r="K11" s="229" t="s">
        <v>502</v>
      </c>
    </row>
    <row r="12" spans="1:11" ht="15" thickBot="1">
      <c r="A12" s="219" t="s">
        <v>35</v>
      </c>
      <c r="B12" s="202">
        <v>151455.79</v>
      </c>
      <c r="C12" s="226" t="s">
        <v>642</v>
      </c>
      <c r="D12" s="226"/>
      <c r="E12" s="26"/>
      <c r="F12" s="27"/>
      <c r="H12" s="228" t="s">
        <v>128</v>
      </c>
      <c r="I12" s="235">
        <v>-8.99</v>
      </c>
      <c r="J12" s="230" t="s">
        <v>87</v>
      </c>
      <c r="K12" s="229"/>
    </row>
    <row r="13" spans="1:11" ht="15" thickBot="1">
      <c r="A13" s="220" t="s">
        <v>37</v>
      </c>
      <c r="B13" s="203">
        <v>80139.8</v>
      </c>
      <c r="C13" s="250">
        <v>4.82E-2</v>
      </c>
      <c r="D13" s="226"/>
      <c r="E13" s="26" t="s">
        <v>543</v>
      </c>
      <c r="F13" s="27">
        <v>22590.67</v>
      </c>
      <c r="H13" s="228" t="s">
        <v>33</v>
      </c>
      <c r="I13" s="229">
        <v>-239</v>
      </c>
      <c r="J13" s="230" t="s">
        <v>87</v>
      </c>
      <c r="K13" s="229"/>
    </row>
    <row r="14" spans="1:11" ht="15" thickBot="1">
      <c r="A14" s="221" t="s">
        <v>38</v>
      </c>
      <c r="B14" s="204">
        <f>SUM(B12:B13)</f>
        <v>231595.59000000003</v>
      </c>
      <c r="D14" s="226"/>
      <c r="E14" s="27" t="s">
        <v>60</v>
      </c>
      <c r="F14" s="27">
        <v>1000</v>
      </c>
      <c r="H14" s="228" t="s">
        <v>34</v>
      </c>
      <c r="I14" s="229">
        <v>-13</v>
      </c>
      <c r="J14" s="230" t="s">
        <v>87</v>
      </c>
      <c r="K14" s="229"/>
    </row>
    <row r="15" spans="1:11" ht="15" thickBot="1">
      <c r="A15" s="222" t="s">
        <v>40</v>
      </c>
      <c r="B15" s="205">
        <f>B16*0.2</f>
        <v>97800</v>
      </c>
      <c r="D15" s="226"/>
      <c r="E15" s="26" t="s">
        <v>111</v>
      </c>
      <c r="F15" s="27">
        <v>126.97</v>
      </c>
      <c r="H15" s="228" t="s">
        <v>470</v>
      </c>
      <c r="I15" s="229"/>
      <c r="J15" s="230" t="s">
        <v>8</v>
      </c>
      <c r="K15" s="229"/>
    </row>
    <row r="16" spans="1:11" ht="15" thickBot="1">
      <c r="A16" s="238" t="s">
        <v>43</v>
      </c>
      <c r="B16" s="248">
        <v>489000</v>
      </c>
      <c r="D16" s="226"/>
      <c r="E16" s="26" t="s">
        <v>637</v>
      </c>
      <c r="F16" s="27"/>
      <c r="H16" s="228" t="s">
        <v>34</v>
      </c>
      <c r="I16" s="229">
        <v>-58</v>
      </c>
      <c r="J16" s="230" t="s">
        <v>87</v>
      </c>
      <c r="K16" s="229"/>
    </row>
    <row r="17" spans="1:12" ht="15" thickBot="1">
      <c r="A17" s="240" t="s">
        <v>46</v>
      </c>
      <c r="B17" s="247">
        <f>B16-SUM(B14:B15)</f>
        <v>159604.40999999997</v>
      </c>
      <c r="D17" s="226"/>
      <c r="E17" s="26" t="s">
        <v>646</v>
      </c>
      <c r="F17" s="27"/>
      <c r="H17" s="228" t="s">
        <v>39</v>
      </c>
      <c r="I17" s="229">
        <v>-1.5</v>
      </c>
      <c r="J17" s="230" t="s">
        <v>87</v>
      </c>
      <c r="K17" s="229"/>
    </row>
    <row r="18" spans="1:12" ht="15" thickBot="1">
      <c r="D18" s="226"/>
      <c r="E18" s="26" t="s">
        <v>655</v>
      </c>
      <c r="F18" s="27">
        <v>350</v>
      </c>
      <c r="H18" s="228" t="s">
        <v>479</v>
      </c>
      <c r="I18" s="229">
        <v>-5</v>
      </c>
      <c r="J18" s="230" t="s">
        <v>8</v>
      </c>
      <c r="K18" s="229"/>
    </row>
    <row r="19" spans="1:12" ht="15" thickBot="1">
      <c r="D19" s="226"/>
      <c r="E19" s="26" t="s">
        <v>640</v>
      </c>
      <c r="F19" s="27">
        <v>110</v>
      </c>
      <c r="H19" s="228" t="s">
        <v>68</v>
      </c>
      <c r="I19" s="229">
        <v>-1000</v>
      </c>
      <c r="J19" s="230" t="s">
        <v>87</v>
      </c>
      <c r="K19" s="229" t="s">
        <v>502</v>
      </c>
    </row>
    <row r="20" spans="1:12" ht="15" thickBot="1">
      <c r="D20" s="226"/>
      <c r="E20" s="26"/>
      <c r="F20" s="27"/>
      <c r="H20" s="228" t="s">
        <v>70</v>
      </c>
      <c r="I20" s="229">
        <v>-28</v>
      </c>
      <c r="J20" s="230" t="s">
        <v>87</v>
      </c>
      <c r="K20" s="229" t="s">
        <v>502</v>
      </c>
    </row>
    <row r="21" spans="1:12" ht="15" thickBot="1">
      <c r="D21" s="226"/>
      <c r="E21" s="26" t="s">
        <v>580</v>
      </c>
      <c r="F21" s="27">
        <f>SUM(F15:F20)</f>
        <v>586.97</v>
      </c>
      <c r="H21" s="228" t="s">
        <v>404</v>
      </c>
      <c r="I21" s="229">
        <v>-14.99</v>
      </c>
      <c r="J21" s="230" t="s">
        <v>87</v>
      </c>
      <c r="K21" s="229"/>
    </row>
    <row r="22" spans="1:12">
      <c r="D22" s="226"/>
      <c r="E22" s="226" t="s">
        <v>73</v>
      </c>
      <c r="H22" s="228" t="s">
        <v>49</v>
      </c>
      <c r="I22" s="229">
        <v>-1170</v>
      </c>
      <c r="J22" s="230" t="s">
        <v>87</v>
      </c>
      <c r="K22" s="229" t="s">
        <v>502</v>
      </c>
    </row>
    <row r="23" spans="1:12">
      <c r="D23" s="226"/>
      <c r="H23" s="228" t="s">
        <v>158</v>
      </c>
      <c r="I23" s="229">
        <v>-50</v>
      </c>
      <c r="J23" s="230" t="s">
        <v>87</v>
      </c>
      <c r="K23" s="229"/>
    </row>
    <row r="24" spans="1:12">
      <c r="H24" s="228" t="s">
        <v>552</v>
      </c>
      <c r="I24" s="229">
        <v>-200</v>
      </c>
      <c r="J24" s="230" t="s">
        <v>87</v>
      </c>
      <c r="K24" s="229" t="s">
        <v>502</v>
      </c>
    </row>
    <row r="25" spans="1:12">
      <c r="H25" s="228" t="s">
        <v>62</v>
      </c>
      <c r="I25" s="229">
        <v>-20</v>
      </c>
      <c r="J25" s="230" t="s">
        <v>87</v>
      </c>
      <c r="K25" s="229"/>
    </row>
    <row r="26" spans="1:12">
      <c r="H26" s="228" t="s">
        <v>55</v>
      </c>
      <c r="I26" s="229">
        <v>-27.7</v>
      </c>
      <c r="J26" s="230" t="s">
        <v>87</v>
      </c>
      <c r="K26" s="229"/>
    </row>
    <row r="27" spans="1:12">
      <c r="H27" s="228" t="s">
        <v>56</v>
      </c>
      <c r="I27" s="229">
        <v>-80</v>
      </c>
      <c r="J27" s="230" t="s">
        <v>87</v>
      </c>
      <c r="K27" s="229" t="s">
        <v>502</v>
      </c>
    </row>
    <row r="28" spans="1:12">
      <c r="H28" s="228" t="s">
        <v>78</v>
      </c>
      <c r="I28" s="229">
        <v>-18</v>
      </c>
      <c r="J28" s="230" t="s">
        <v>87</v>
      </c>
      <c r="K28" s="229"/>
      <c r="L28" s="242"/>
    </row>
    <row r="29" spans="1:12">
      <c r="H29" s="244" t="s">
        <v>63</v>
      </c>
      <c r="I29" s="229">
        <v>-210</v>
      </c>
      <c r="J29" s="230" t="s">
        <v>87</v>
      </c>
      <c r="K29" s="229" t="s">
        <v>503</v>
      </c>
    </row>
    <row r="30" spans="1:12">
      <c r="A30" s="31" t="s">
        <v>509</v>
      </c>
      <c r="H30" s="228" t="s">
        <v>79</v>
      </c>
      <c r="I30" s="229">
        <v>-14.5</v>
      </c>
      <c r="J30" s="230" t="s">
        <v>87</v>
      </c>
      <c r="K30" s="229"/>
    </row>
    <row r="31" spans="1:12" ht="15.5">
      <c r="A31" s="243">
        <v>1104841580</v>
      </c>
      <c r="G31" s="30"/>
      <c r="H31" s="228" t="s">
        <v>80</v>
      </c>
      <c r="I31" s="229">
        <v>-35</v>
      </c>
      <c r="J31" s="230" t="s">
        <v>87</v>
      </c>
      <c r="K31" s="229" t="s">
        <v>502</v>
      </c>
    </row>
    <row r="32" spans="1:12">
      <c r="G32" s="30"/>
      <c r="H32" s="228" t="s">
        <v>144</v>
      </c>
      <c r="I32" s="229">
        <v>-50</v>
      </c>
      <c r="J32" s="230" t="s">
        <v>87</v>
      </c>
      <c r="K32" s="229"/>
    </row>
    <row r="33" spans="7:11">
      <c r="G33" s="30"/>
      <c r="H33" s="228" t="s">
        <v>573</v>
      </c>
      <c r="I33" s="229">
        <v>-25</v>
      </c>
      <c r="J33" s="230" t="s">
        <v>87</v>
      </c>
      <c r="K33" s="244"/>
    </row>
    <row r="34" spans="7:11">
      <c r="G34" s="30"/>
      <c r="H34" s="228" t="s">
        <v>84</v>
      </c>
      <c r="I34" s="229">
        <v>-130</v>
      </c>
      <c r="J34" s="230" t="s">
        <v>87</v>
      </c>
      <c r="K34" s="244"/>
    </row>
    <row r="35" spans="7:11">
      <c r="G35" s="30"/>
      <c r="H35" s="244" t="s">
        <v>636</v>
      </c>
      <c r="I35" s="229">
        <v>-10</v>
      </c>
      <c r="J35" s="230" t="s">
        <v>87</v>
      </c>
      <c r="K35" s="244" t="s">
        <v>503</v>
      </c>
    </row>
    <row r="36" spans="7:11">
      <c r="G36" s="30"/>
      <c r="H36" s="244" t="s">
        <v>626</v>
      </c>
      <c r="I36" s="229">
        <v>-60</v>
      </c>
      <c r="J36" s="230" t="s">
        <v>87</v>
      </c>
      <c r="K36" s="244"/>
    </row>
    <row r="37" spans="7:11">
      <c r="G37" s="30"/>
      <c r="H37" s="244" t="s">
        <v>564</v>
      </c>
      <c r="I37" s="229">
        <v>-35</v>
      </c>
      <c r="J37" s="230" t="s">
        <v>87</v>
      </c>
      <c r="K37" s="244"/>
    </row>
    <row r="38" spans="7:11">
      <c r="G38" s="30"/>
      <c r="H38" s="244" t="s">
        <v>609</v>
      </c>
      <c r="I38" s="229">
        <v>-8</v>
      </c>
      <c r="J38" s="230" t="s">
        <v>87</v>
      </c>
      <c r="K38" s="244"/>
    </row>
    <row r="39" spans="7:11">
      <c r="G39" s="30"/>
      <c r="H39" s="244" t="s">
        <v>57</v>
      </c>
      <c r="I39" s="229">
        <v>-30</v>
      </c>
      <c r="J39" s="230" t="s">
        <v>87</v>
      </c>
      <c r="K39" s="244" t="s">
        <v>502</v>
      </c>
    </row>
    <row r="40" spans="7:11">
      <c r="G40" s="30"/>
      <c r="H40" s="244" t="s">
        <v>144</v>
      </c>
      <c r="I40" s="229">
        <v>-321</v>
      </c>
      <c r="J40" s="230" t="s">
        <v>87</v>
      </c>
      <c r="K40" s="244"/>
    </row>
    <row r="41" spans="7:11">
      <c r="G41" s="30"/>
      <c r="H41" s="244" t="s">
        <v>648</v>
      </c>
      <c r="I41" s="229">
        <v>-8</v>
      </c>
      <c r="J41" s="230" t="s">
        <v>87</v>
      </c>
      <c r="K41" s="244"/>
    </row>
    <row r="42" spans="7:11">
      <c r="G42" s="30"/>
      <c r="H42" s="244" t="s">
        <v>650</v>
      </c>
      <c r="I42" s="229">
        <v>-7</v>
      </c>
      <c r="J42" s="230" t="s">
        <v>87</v>
      </c>
      <c r="K42" s="244"/>
    </row>
    <row r="43" spans="7:11">
      <c r="G43" s="30"/>
      <c r="H43" s="244"/>
      <c r="I43" s="229"/>
      <c r="J43" s="230" t="s">
        <v>8</v>
      </c>
      <c r="K43" s="244"/>
    </row>
    <row r="44" spans="7:11">
      <c r="G44" s="30"/>
      <c r="H44" s="244"/>
      <c r="I44" s="229"/>
      <c r="J44" s="230" t="s">
        <v>8</v>
      </c>
      <c r="K44" s="244"/>
    </row>
    <row r="45" spans="7:11">
      <c r="G45" s="30"/>
      <c r="H45" s="244"/>
      <c r="I45" s="229"/>
      <c r="J45" s="230" t="s">
        <v>8</v>
      </c>
      <c r="K45" s="244"/>
    </row>
    <row r="46" spans="7:11">
      <c r="G46" s="30"/>
      <c r="H46" s="244"/>
      <c r="I46" s="229"/>
      <c r="J46" s="230" t="s">
        <v>8</v>
      </c>
      <c r="K46" s="244"/>
    </row>
    <row r="47" spans="7:11">
      <c r="H47" s="244"/>
      <c r="I47" s="229"/>
      <c r="J47" s="230" t="s">
        <v>8</v>
      </c>
      <c r="K47" s="244"/>
    </row>
  </sheetData>
  <conditionalFormatting sqref="H2:I11 H12 H13:I31 H33:I34">
    <cfRule type="expression" dxfId="262" priority="2">
      <formula>#REF!</formula>
    </cfRule>
  </conditionalFormatting>
  <conditionalFormatting sqref="I29 I35:I47">
    <cfRule type="expression" dxfId="261" priority="1">
      <formula>#REF!</formula>
    </cfRule>
  </conditionalFormatting>
  <conditionalFormatting sqref="J2:J47">
    <cfRule type="containsText" dxfId="260" priority="4" operator="containsText" text="No">
      <formula>NOT(ISERROR(SEARCH("No",J2)))</formula>
    </cfRule>
    <cfRule type="containsText" dxfId="259" priority="5" operator="containsText" text="yes">
      <formula>NOT(ISERROR(SEARCH("yes",J2)))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58" priority="10">
      <formula>#REF!</formula>
    </cfRule>
  </conditionalFormatting>
  <conditionalFormatting sqref="J38:J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57" priority="7">
      <formula>#REF!</formula>
    </cfRule>
  </conditionalFormatting>
  <conditionalFormatting sqref="K2:K31">
    <cfRule type="expression" dxfId="256" priority="8">
      <formula>#REF!</formula>
    </cfRule>
  </conditionalFormatting>
  <conditionalFormatting sqref="K2:K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{79586EAE-0884-4006-81E5-6A1211C311ED}</x14:id>
        </ext>
      </extLst>
    </cfRule>
  </conditionalFormatting>
  <conditionalFormatting sqref="K38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{695F836B-E151-4391-A691-E840624F76CD}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586EAE-0884-4006-81E5-6A1211C31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K2:K37</xm:sqref>
        </x14:conditionalFormatting>
        <x14:conditionalFormatting xmlns:xm="http://schemas.microsoft.com/office/excel/2006/main">
          <x14:cfRule type="dataBar" id="{695F836B-E151-4391-A691-E840624F7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K38:K47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B2DC-5CFE-405D-AE7F-0B24EB816BEC}">
  <dimension ref="A1:L47"/>
  <sheetViews>
    <sheetView topLeftCell="A3" zoomScale="145" zoomScaleNormal="145" workbookViewId="0">
      <selection activeCell="J44" sqref="J44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4" max="4" width="1.08203125" style="32" customWidth="1"/>
    <col min="5" max="5" width="17" style="226" bestFit="1" customWidth="1"/>
    <col min="6" max="6" width="10.5" style="226" customWidth="1"/>
    <col min="7" max="7" width="2.58203125" style="226" customWidth="1"/>
    <col min="8" max="8" width="24" style="226" customWidth="1"/>
    <col min="9" max="9" width="12.5" style="226" customWidth="1"/>
    <col min="10" max="10" width="10.08203125" style="226" customWidth="1"/>
    <col min="11" max="11" width="6.58203125" style="226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D1" s="226"/>
      <c r="E1" s="106" t="s">
        <v>1</v>
      </c>
      <c r="F1" s="31"/>
      <c r="H1" s="120" t="s">
        <v>2</v>
      </c>
      <c r="I1" s="227" t="s">
        <v>3</v>
      </c>
      <c r="J1" s="120" t="s">
        <v>4</v>
      </c>
      <c r="K1" s="227" t="s">
        <v>5</v>
      </c>
    </row>
    <row r="2" spans="1:11">
      <c r="A2" s="213" t="s">
        <v>6</v>
      </c>
      <c r="B2" s="249">
        <v>5245.45</v>
      </c>
      <c r="D2" s="226"/>
      <c r="E2" s="6" t="s">
        <v>520</v>
      </c>
      <c r="F2" s="5">
        <v>60</v>
      </c>
      <c r="H2" s="228" t="s">
        <v>7</v>
      </c>
      <c r="I2" s="229">
        <v>-1268.67</v>
      </c>
      <c r="J2" s="230" t="s">
        <v>87</v>
      </c>
      <c r="K2" s="229"/>
    </row>
    <row r="3" spans="1:11">
      <c r="A3" s="214" t="s">
        <v>9</v>
      </c>
      <c r="B3" s="192">
        <f>SUMIF(J2:J47,"Yes*",I2:I47)</f>
        <v>-5212.1100000000006</v>
      </c>
      <c r="D3" s="226"/>
      <c r="E3" s="24"/>
      <c r="F3" s="25"/>
      <c r="H3" s="228" t="s">
        <v>557</v>
      </c>
      <c r="I3" s="229"/>
      <c r="J3" s="230" t="s">
        <v>8</v>
      </c>
      <c r="K3" s="229" t="s">
        <v>514</v>
      </c>
    </row>
    <row r="4" spans="1:11" outlineLevel="1">
      <c r="A4" s="213" t="s">
        <v>12</v>
      </c>
      <c r="B4" s="249">
        <v>133.01</v>
      </c>
      <c r="D4" s="226"/>
      <c r="E4" s="24" t="s">
        <v>522</v>
      </c>
      <c r="F4" s="25">
        <v>110</v>
      </c>
      <c r="G4" s="231"/>
      <c r="H4" s="228" t="s">
        <v>14</v>
      </c>
      <c r="I4" s="229">
        <v>-39</v>
      </c>
      <c r="J4" s="230" t="s">
        <v>87</v>
      </c>
      <c r="K4" s="229"/>
    </row>
    <row r="5" spans="1:11" ht="15" thickBot="1">
      <c r="A5" s="215" t="s">
        <v>15</v>
      </c>
      <c r="B5" s="200">
        <f>SUMIF(J2:J47,"No",I2:I47)</f>
        <v>0</v>
      </c>
      <c r="D5" s="226"/>
      <c r="E5" s="24" t="s">
        <v>526</v>
      </c>
      <c r="F5" s="25">
        <v>600</v>
      </c>
      <c r="H5" s="228" t="s">
        <v>17</v>
      </c>
      <c r="I5" s="229">
        <v>-39</v>
      </c>
      <c r="J5" s="230" t="s">
        <v>87</v>
      </c>
      <c r="K5" s="229"/>
    </row>
    <row r="6" spans="1:11" ht="15" thickBot="1">
      <c r="A6" s="216" t="s">
        <v>18</v>
      </c>
      <c r="B6" s="29">
        <f>B5+B4</f>
        <v>133.01</v>
      </c>
      <c r="D6" s="226" t="s">
        <v>19</v>
      </c>
      <c r="E6" s="24"/>
      <c r="F6" s="25"/>
      <c r="H6" s="228" t="s">
        <v>21</v>
      </c>
      <c r="I6" s="229">
        <v>-15</v>
      </c>
      <c r="J6" s="230" t="s">
        <v>87</v>
      </c>
      <c r="K6" s="229"/>
    </row>
    <row r="7" spans="1:11">
      <c r="A7" s="217" t="s">
        <v>504</v>
      </c>
      <c r="B7" s="201">
        <f>SUMIF(K2:K47,"f1",I2:I47)</f>
        <v>-2137.9899999999998</v>
      </c>
      <c r="D7" s="30"/>
      <c r="E7" s="24"/>
      <c r="F7" s="25"/>
      <c r="H7" s="228" t="s">
        <v>24</v>
      </c>
      <c r="I7" s="229">
        <v>-185</v>
      </c>
      <c r="J7" s="230" t="s">
        <v>87</v>
      </c>
      <c r="K7" s="229"/>
    </row>
    <row r="8" spans="1:11">
      <c r="A8" s="218" t="s">
        <v>505</v>
      </c>
      <c r="B8" s="194">
        <f>SUMIF(K2:K47,"f2",I2:I47)</f>
        <v>-150</v>
      </c>
      <c r="D8" s="30"/>
      <c r="E8" s="24" t="s">
        <v>622</v>
      </c>
      <c r="F8" s="25"/>
      <c r="H8" s="228" t="s">
        <v>25</v>
      </c>
      <c r="I8" s="229">
        <v>-40</v>
      </c>
      <c r="J8" s="230" t="s">
        <v>87</v>
      </c>
      <c r="K8" s="229" t="s">
        <v>514</v>
      </c>
    </row>
    <row r="9" spans="1:11">
      <c r="A9" s="218" t="s">
        <v>147</v>
      </c>
      <c r="B9" s="194">
        <f>SUMIF(K2:K47,"",I2:I47)</f>
        <v>-2884.1200000000003</v>
      </c>
      <c r="D9" s="226"/>
      <c r="E9" s="24"/>
      <c r="F9" s="25"/>
      <c r="H9" s="228" t="s">
        <v>27</v>
      </c>
      <c r="I9" s="229">
        <v>-20</v>
      </c>
      <c r="J9" s="230" t="s">
        <v>87</v>
      </c>
      <c r="K9" s="229"/>
    </row>
    <row r="10" spans="1:11" ht="15" thickBot="1">
      <c r="A10" s="218" t="s">
        <v>202</v>
      </c>
      <c r="B10" s="194">
        <f>SUMIF(K2:K47,"s",I2:I47)</f>
        <v>-40</v>
      </c>
      <c r="D10" s="226"/>
      <c r="E10" s="24" t="s">
        <v>618</v>
      </c>
      <c r="F10" s="25"/>
      <c r="H10" s="228" t="s">
        <v>575</v>
      </c>
      <c r="I10" s="229">
        <v>-55</v>
      </c>
      <c r="J10" s="230" t="s">
        <v>87</v>
      </c>
      <c r="K10" s="229"/>
    </row>
    <row r="11" spans="1:11" ht="15" thickBot="1">
      <c r="A11" s="237" t="s">
        <v>7</v>
      </c>
      <c r="D11" s="226"/>
      <c r="E11" s="26" t="s">
        <v>28</v>
      </c>
      <c r="F11" s="27">
        <f>SUM(F2:F10)</f>
        <v>770</v>
      </c>
      <c r="H11" s="228" t="s">
        <v>623</v>
      </c>
      <c r="I11" s="229">
        <v>-7.99</v>
      </c>
      <c r="J11" s="230" t="s">
        <v>87</v>
      </c>
      <c r="K11" s="229" t="s">
        <v>502</v>
      </c>
    </row>
    <row r="12" spans="1:11" ht="15" thickBot="1">
      <c r="A12" s="219" t="s">
        <v>35</v>
      </c>
      <c r="B12" s="202">
        <v>151011.39000000001</v>
      </c>
      <c r="D12" s="226"/>
      <c r="E12" s="26"/>
      <c r="F12" s="27"/>
      <c r="H12" s="228" t="s">
        <v>128</v>
      </c>
      <c r="I12" s="235">
        <v>-8.99</v>
      </c>
      <c r="J12" s="230" t="s">
        <v>87</v>
      </c>
      <c r="K12" s="229"/>
    </row>
    <row r="13" spans="1:11" ht="15" thickBot="1">
      <c r="A13" s="220" t="s">
        <v>37</v>
      </c>
      <c r="B13" s="203">
        <v>79904.639999999999</v>
      </c>
      <c r="D13" s="226"/>
      <c r="E13" s="26" t="s">
        <v>543</v>
      </c>
      <c r="F13" s="27">
        <v>20000</v>
      </c>
      <c r="H13" s="228" t="s">
        <v>33</v>
      </c>
      <c r="I13" s="229">
        <v>-239</v>
      </c>
      <c r="J13" s="230" t="s">
        <v>87</v>
      </c>
      <c r="K13" s="229"/>
    </row>
    <row r="14" spans="1:11" ht="15" thickBot="1">
      <c r="A14" s="221" t="s">
        <v>38</v>
      </c>
      <c r="B14" s="204">
        <f>SUM(B12:B13)</f>
        <v>230916.03000000003</v>
      </c>
      <c r="D14" s="226"/>
      <c r="E14" s="27" t="s">
        <v>644</v>
      </c>
      <c r="F14" s="27">
        <v>4000</v>
      </c>
      <c r="H14" s="228" t="s">
        <v>34</v>
      </c>
      <c r="I14" s="229">
        <v>-13</v>
      </c>
      <c r="J14" s="230" t="s">
        <v>87</v>
      </c>
      <c r="K14" s="229"/>
    </row>
    <row r="15" spans="1:11" ht="15" thickBot="1">
      <c r="A15" s="222" t="s">
        <v>40</v>
      </c>
      <c r="B15" s="205">
        <f>B16*0.2</f>
        <v>92000</v>
      </c>
      <c r="D15" s="226"/>
      <c r="E15" s="26" t="s">
        <v>111</v>
      </c>
      <c r="F15" s="27">
        <v>209.5</v>
      </c>
      <c r="H15" s="228" t="s">
        <v>470</v>
      </c>
      <c r="I15" s="229">
        <v>-10</v>
      </c>
      <c r="J15" s="230" t="s">
        <v>87</v>
      </c>
      <c r="K15" s="229"/>
    </row>
    <row r="16" spans="1:11" ht="15" thickBot="1">
      <c r="A16" s="238" t="s">
        <v>43</v>
      </c>
      <c r="B16" s="248">
        <v>460000</v>
      </c>
      <c r="D16" s="226"/>
      <c r="E16" s="26" t="s">
        <v>637</v>
      </c>
      <c r="F16" s="27"/>
      <c r="H16" s="228" t="s">
        <v>34</v>
      </c>
      <c r="I16" s="229">
        <v>-58</v>
      </c>
      <c r="J16" s="230" t="s">
        <v>87</v>
      </c>
      <c r="K16" s="229"/>
    </row>
    <row r="17" spans="1:12" ht="15" thickBot="1">
      <c r="A17" s="240" t="s">
        <v>46</v>
      </c>
      <c r="B17" s="247">
        <f>B16-SUM(B14:B15)</f>
        <v>137083.96999999997</v>
      </c>
      <c r="D17" s="226"/>
      <c r="E17" s="26" t="s">
        <v>638</v>
      </c>
      <c r="F17" s="27">
        <v>500</v>
      </c>
      <c r="H17" s="228" t="s">
        <v>39</v>
      </c>
      <c r="I17" s="229">
        <v>-1.5</v>
      </c>
      <c r="J17" s="230" t="s">
        <v>87</v>
      </c>
      <c r="K17" s="229"/>
    </row>
    <row r="18" spans="1:12" ht="15" thickBot="1">
      <c r="A18" s="226"/>
      <c r="D18" s="226"/>
      <c r="E18" s="26" t="s">
        <v>639</v>
      </c>
      <c r="F18" s="27">
        <v>400</v>
      </c>
      <c r="H18" s="228" t="s">
        <v>479</v>
      </c>
      <c r="I18" s="229">
        <v>-5</v>
      </c>
      <c r="J18" s="230" t="s">
        <v>87</v>
      </c>
      <c r="K18" s="229"/>
    </row>
    <row r="19" spans="1:12" ht="15" thickBot="1">
      <c r="A19" s="226"/>
      <c r="D19" s="226"/>
      <c r="E19" s="26" t="s">
        <v>640</v>
      </c>
      <c r="F19" s="27">
        <v>200</v>
      </c>
      <c r="H19" s="228" t="s">
        <v>68</v>
      </c>
      <c r="I19" s="229">
        <v>-800</v>
      </c>
      <c r="J19" s="230" t="s">
        <v>87</v>
      </c>
      <c r="K19" s="229" t="s">
        <v>502</v>
      </c>
    </row>
    <row r="20" spans="1:12" ht="15" thickBot="1">
      <c r="A20" s="226"/>
      <c r="D20" s="226"/>
      <c r="E20" s="26" t="s">
        <v>63</v>
      </c>
      <c r="F20" s="27">
        <v>351</v>
      </c>
      <c r="H20" s="228" t="s">
        <v>70</v>
      </c>
      <c r="I20" s="229">
        <v>-28</v>
      </c>
      <c r="J20" s="230" t="s">
        <v>87</v>
      </c>
      <c r="K20" s="229" t="s">
        <v>502</v>
      </c>
    </row>
    <row r="21" spans="1:12" ht="15" thickBot="1">
      <c r="A21" s="226"/>
      <c r="D21" s="226"/>
      <c r="E21" s="26" t="s">
        <v>580</v>
      </c>
      <c r="F21" s="27">
        <f>SUM(F15:F20)</f>
        <v>1660.5</v>
      </c>
      <c r="H21" s="228" t="s">
        <v>404</v>
      </c>
      <c r="I21" s="229">
        <v>-14.99</v>
      </c>
      <c r="J21" s="230" t="s">
        <v>87</v>
      </c>
      <c r="K21" s="229"/>
    </row>
    <row r="22" spans="1:12">
      <c r="A22" s="226"/>
      <c r="D22" s="226"/>
      <c r="E22" s="226" t="s">
        <v>73</v>
      </c>
      <c r="H22" s="228" t="s">
        <v>49</v>
      </c>
      <c r="I22" s="229">
        <v>-920</v>
      </c>
      <c r="J22" s="230" t="s">
        <v>87</v>
      </c>
      <c r="K22" s="229" t="s">
        <v>502</v>
      </c>
    </row>
    <row r="23" spans="1:12">
      <c r="A23" s="226"/>
      <c r="D23" s="226"/>
      <c r="H23" s="228" t="s">
        <v>74</v>
      </c>
      <c r="I23" s="229">
        <v>-11</v>
      </c>
      <c r="J23" s="230" t="s">
        <v>87</v>
      </c>
      <c r="K23" s="229"/>
    </row>
    <row r="24" spans="1:12">
      <c r="H24" s="228" t="s">
        <v>54</v>
      </c>
      <c r="I24" s="229">
        <v>-47</v>
      </c>
      <c r="J24" s="230" t="s">
        <v>87</v>
      </c>
      <c r="K24" s="229" t="s">
        <v>502</v>
      </c>
    </row>
    <row r="25" spans="1:12">
      <c r="H25" s="228" t="s">
        <v>62</v>
      </c>
      <c r="I25" s="229"/>
      <c r="J25" s="230" t="s">
        <v>8</v>
      </c>
      <c r="K25" s="229"/>
    </row>
    <row r="26" spans="1:12">
      <c r="H26" s="228" t="s">
        <v>55</v>
      </c>
      <c r="I26" s="229">
        <v>-27.7</v>
      </c>
      <c r="J26" s="230" t="s">
        <v>87</v>
      </c>
      <c r="K26" s="229"/>
    </row>
    <row r="27" spans="1:12">
      <c r="E27" s="31" t="s">
        <v>509</v>
      </c>
      <c r="H27" s="228" t="s">
        <v>56</v>
      </c>
      <c r="I27" s="229">
        <v>-90</v>
      </c>
      <c r="J27" s="230" t="s">
        <v>87</v>
      </c>
      <c r="K27" s="229" t="s">
        <v>502</v>
      </c>
    </row>
    <row r="28" spans="1:12" ht="15.5">
      <c r="E28" s="243">
        <v>1104841580</v>
      </c>
      <c r="H28" s="228" t="s">
        <v>78</v>
      </c>
      <c r="I28" s="229">
        <v>-18</v>
      </c>
      <c r="J28" s="230" t="s">
        <v>87</v>
      </c>
      <c r="K28" s="229"/>
      <c r="L28" s="242"/>
    </row>
    <row r="29" spans="1:12">
      <c r="H29" s="244" t="s">
        <v>624</v>
      </c>
      <c r="I29" s="229">
        <v>-120</v>
      </c>
      <c r="J29" s="230" t="s">
        <v>87</v>
      </c>
      <c r="K29" s="229" t="s">
        <v>502</v>
      </c>
    </row>
    <row r="30" spans="1:12">
      <c r="H30" s="228" t="s">
        <v>79</v>
      </c>
      <c r="I30" s="229">
        <v>-14.5</v>
      </c>
      <c r="J30" s="230" t="s">
        <v>87</v>
      </c>
      <c r="K30" s="229"/>
    </row>
    <row r="31" spans="1:12">
      <c r="G31" s="30"/>
      <c r="H31" s="228" t="s">
        <v>80</v>
      </c>
      <c r="I31" s="229">
        <v>-35</v>
      </c>
      <c r="J31" s="230" t="s">
        <v>87</v>
      </c>
      <c r="K31" s="229" t="s">
        <v>502</v>
      </c>
    </row>
    <row r="32" spans="1:12">
      <c r="G32" s="30"/>
      <c r="H32" s="228" t="s">
        <v>144</v>
      </c>
      <c r="I32" s="229">
        <v>-17</v>
      </c>
      <c r="J32" s="230" t="s">
        <v>87</v>
      </c>
      <c r="K32" s="229"/>
    </row>
    <row r="33" spans="7:11">
      <c r="G33" s="30"/>
      <c r="H33" s="228" t="s">
        <v>573</v>
      </c>
      <c r="I33" s="229">
        <v>-25</v>
      </c>
      <c r="J33" s="230" t="s">
        <v>87</v>
      </c>
      <c r="K33" s="244"/>
    </row>
    <row r="34" spans="7:11">
      <c r="G34" s="30"/>
      <c r="H34" s="228" t="s">
        <v>84</v>
      </c>
      <c r="I34" s="229">
        <v>-130</v>
      </c>
      <c r="J34" s="230" t="s">
        <v>87</v>
      </c>
      <c r="K34" s="244"/>
    </row>
    <row r="35" spans="7:11">
      <c r="G35" s="30"/>
      <c r="H35" s="244" t="s">
        <v>63</v>
      </c>
      <c r="I35" s="229">
        <v>-150</v>
      </c>
      <c r="J35" s="230" t="s">
        <v>87</v>
      </c>
      <c r="K35" s="244" t="s">
        <v>503</v>
      </c>
    </row>
    <row r="36" spans="7:11">
      <c r="G36" s="30"/>
      <c r="H36" s="244" t="s">
        <v>626</v>
      </c>
      <c r="I36" s="229">
        <v>-60</v>
      </c>
      <c r="J36" s="230" t="s">
        <v>87</v>
      </c>
      <c r="K36" s="244" t="s">
        <v>502</v>
      </c>
    </row>
    <row r="37" spans="7:11">
      <c r="G37" s="30"/>
      <c r="H37" s="244" t="s">
        <v>604</v>
      </c>
      <c r="I37" s="229">
        <v>-11</v>
      </c>
      <c r="J37" s="230" t="s">
        <v>87</v>
      </c>
      <c r="K37" s="244"/>
    </row>
    <row r="38" spans="7:11">
      <c r="G38" s="30"/>
      <c r="H38" s="244" t="s">
        <v>609</v>
      </c>
      <c r="I38" s="229">
        <v>-8</v>
      </c>
      <c r="J38" s="230" t="s">
        <v>87</v>
      </c>
      <c r="K38" s="244"/>
    </row>
    <row r="39" spans="7:11">
      <c r="G39" s="30"/>
      <c r="H39" s="244" t="s">
        <v>631</v>
      </c>
      <c r="I39" s="229">
        <v>-400</v>
      </c>
      <c r="J39" s="230" t="s">
        <v>87</v>
      </c>
      <c r="K39" s="244"/>
    </row>
    <row r="40" spans="7:11">
      <c r="G40" s="30"/>
      <c r="H40" s="244" t="s">
        <v>57</v>
      </c>
      <c r="I40" s="229">
        <v>-30</v>
      </c>
      <c r="J40" s="230" t="s">
        <v>87</v>
      </c>
      <c r="K40" s="244" t="s">
        <v>502</v>
      </c>
    </row>
    <row r="41" spans="7:11">
      <c r="G41" s="30"/>
      <c r="H41" s="226" t="s">
        <v>111</v>
      </c>
      <c r="I41" s="226">
        <v>-115.5</v>
      </c>
      <c r="J41" s="230" t="s">
        <v>87</v>
      </c>
      <c r="K41" s="244"/>
    </row>
    <row r="42" spans="7:11">
      <c r="G42" s="30"/>
      <c r="H42" s="226" t="s">
        <v>635</v>
      </c>
      <c r="I42" s="226">
        <v>-114.27</v>
      </c>
      <c r="J42" s="230" t="s">
        <v>87</v>
      </c>
      <c r="K42" s="244"/>
    </row>
    <row r="43" spans="7:11">
      <c r="G43" s="30"/>
      <c r="H43" s="244" t="s">
        <v>574</v>
      </c>
      <c r="I43" s="229">
        <v>-20</v>
      </c>
      <c r="J43" s="230" t="s">
        <v>87</v>
      </c>
      <c r="K43" s="244"/>
    </row>
    <row r="44" spans="7:11">
      <c r="G44" s="30"/>
      <c r="H44" s="244"/>
      <c r="I44" s="229"/>
      <c r="J44" s="230" t="s">
        <v>8</v>
      </c>
      <c r="K44" s="244"/>
    </row>
    <row r="45" spans="7:11">
      <c r="G45" s="30"/>
      <c r="H45" s="244"/>
      <c r="I45" s="229"/>
      <c r="J45" s="230" t="s">
        <v>8</v>
      </c>
      <c r="K45" s="244"/>
    </row>
    <row r="46" spans="7:11">
      <c r="G46" s="30"/>
      <c r="H46" s="244"/>
      <c r="I46" s="229"/>
      <c r="J46" s="230" t="s">
        <v>8</v>
      </c>
      <c r="K46" s="244"/>
    </row>
    <row r="47" spans="7:11">
      <c r="H47" s="244"/>
      <c r="I47" s="229"/>
      <c r="J47" s="230" t="s">
        <v>8</v>
      </c>
      <c r="K47" s="244"/>
    </row>
  </sheetData>
  <conditionalFormatting sqref="H2:I11 H12 H13:I31 H33:I34">
    <cfRule type="expression" dxfId="255" priority="2">
      <formula>#REF!</formula>
    </cfRule>
  </conditionalFormatting>
  <conditionalFormatting sqref="I29 I35:I40 I43:I47">
    <cfRule type="expression" dxfId="254" priority="1">
      <formula>#REF!</formula>
    </cfRule>
  </conditionalFormatting>
  <conditionalFormatting sqref="J2:J47">
    <cfRule type="containsText" dxfId="253" priority="4" operator="containsText" text="No">
      <formula>NOT(ISERROR(SEARCH("No",J2)))</formula>
    </cfRule>
    <cfRule type="containsText" dxfId="252" priority="5" operator="containsText" text="yes">
      <formula>NOT(ISERROR(SEARCH("yes",J2)))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51" priority="10">
      <formula>#REF!</formula>
    </cfRule>
  </conditionalFormatting>
  <conditionalFormatting sqref="J38:J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50" priority="7">
      <formula>#REF!</formula>
    </cfRule>
  </conditionalFormatting>
  <conditionalFormatting sqref="K2:K31">
    <cfRule type="expression" dxfId="249" priority="8">
      <formula>#REF!</formula>
    </cfRule>
  </conditionalFormatting>
  <conditionalFormatting sqref="K2:K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{66B6D53A-C14A-4220-B528-DCA97302B385}</x14:id>
        </ext>
      </extLst>
    </cfRule>
  </conditionalFormatting>
  <conditionalFormatting sqref="K38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{C8F673B4-D0FF-4030-A67B-ECB06DE9EF32}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6D53A-C14A-4220-B528-DCA97302B3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K2:K37</xm:sqref>
        </x14:conditionalFormatting>
        <x14:conditionalFormatting xmlns:xm="http://schemas.microsoft.com/office/excel/2006/main">
          <x14:cfRule type="dataBar" id="{C8F673B4-D0FF-4030-A67B-ECB06DE9EF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K38:K47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E663-86AE-4398-8BD0-E5ABB902ED5C}">
  <dimension ref="A1:K47"/>
  <sheetViews>
    <sheetView zoomScale="145" zoomScaleNormal="145" workbookViewId="0">
      <selection activeCell="E26" sqref="E26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2.58203125" style="226" customWidth="1"/>
    <col min="12" max="253" width="8.58203125" style="226" customWidth="1"/>
    <col min="254" max="16384" width="8.58203125" style="226"/>
  </cols>
  <sheetData>
    <row r="1" spans="1:10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</row>
    <row r="2" spans="1:10">
      <c r="A2" s="213" t="s">
        <v>6</v>
      </c>
      <c r="B2" s="249">
        <v>5252.27</v>
      </c>
      <c r="C2" s="226"/>
      <c r="D2" s="6" t="s">
        <v>520</v>
      </c>
      <c r="E2" s="5">
        <v>80</v>
      </c>
      <c r="G2" s="228" t="s">
        <v>7</v>
      </c>
      <c r="H2" s="229">
        <v>-1268.67</v>
      </c>
      <c r="I2" s="230" t="s">
        <v>87</v>
      </c>
      <c r="J2" s="229"/>
    </row>
    <row r="3" spans="1:10">
      <c r="A3" s="214" t="s">
        <v>9</v>
      </c>
      <c r="B3" s="192">
        <f>SUMIF(I2:I47,"Yes*",H2:H47)</f>
        <v>-5233.34</v>
      </c>
      <c r="C3" s="226"/>
      <c r="D3" s="24"/>
      <c r="E3" s="25"/>
      <c r="G3" s="228" t="s">
        <v>557</v>
      </c>
      <c r="H3" s="229"/>
      <c r="I3" s="230" t="s">
        <v>8</v>
      </c>
      <c r="J3" s="229" t="s">
        <v>514</v>
      </c>
    </row>
    <row r="4" spans="1:10" outlineLevel="1">
      <c r="A4" s="213" t="s">
        <v>12</v>
      </c>
      <c r="B4" s="249">
        <v>32.22</v>
      </c>
      <c r="C4" s="226"/>
      <c r="D4" s="24" t="s">
        <v>522</v>
      </c>
      <c r="E4" s="25">
        <v>110</v>
      </c>
      <c r="F4" s="231"/>
      <c r="G4" s="228" t="s">
        <v>14</v>
      </c>
      <c r="H4" s="229">
        <v>-39</v>
      </c>
      <c r="I4" s="230" t="s">
        <v>87</v>
      </c>
      <c r="J4" s="229"/>
    </row>
    <row r="5" spans="1:10" ht="15" thickBot="1">
      <c r="A5" s="215" t="s">
        <v>15</v>
      </c>
      <c r="B5" s="200">
        <f>SUMIF(I2:I47,"No",H2:H47)</f>
        <v>0</v>
      </c>
      <c r="C5" s="226"/>
      <c r="D5" s="24" t="s">
        <v>526</v>
      </c>
      <c r="E5" s="25">
        <v>560</v>
      </c>
      <c r="G5" s="228" t="s">
        <v>17</v>
      </c>
      <c r="H5" s="229">
        <v>-39</v>
      </c>
      <c r="I5" s="230" t="s">
        <v>87</v>
      </c>
      <c r="J5" s="229"/>
    </row>
    <row r="6" spans="1:10" ht="15" thickBot="1">
      <c r="A6" s="216" t="s">
        <v>18</v>
      </c>
      <c r="B6" s="29">
        <f>B5+B4</f>
        <v>32.22</v>
      </c>
      <c r="C6" s="226" t="s">
        <v>19</v>
      </c>
      <c r="D6" s="24"/>
      <c r="E6" s="25"/>
      <c r="G6" s="228" t="s">
        <v>21</v>
      </c>
      <c r="H6" s="229">
        <v>-15</v>
      </c>
      <c r="I6" s="230" t="s">
        <v>87</v>
      </c>
      <c r="J6" s="229"/>
    </row>
    <row r="7" spans="1:10">
      <c r="A7" s="217" t="s">
        <v>504</v>
      </c>
      <c r="B7" s="201">
        <f>SUMIF(J2:J47,"f1",H2:H47)</f>
        <v>-2270.9899999999998</v>
      </c>
      <c r="C7" s="30"/>
      <c r="D7" s="24" t="s">
        <v>621</v>
      </c>
      <c r="E7" s="25"/>
      <c r="G7" s="228" t="s">
        <v>24</v>
      </c>
      <c r="H7" s="229">
        <v>-155</v>
      </c>
      <c r="I7" s="230" t="s">
        <v>87</v>
      </c>
      <c r="J7" s="229"/>
    </row>
    <row r="8" spans="1:10">
      <c r="A8" s="218" t="s">
        <v>505</v>
      </c>
      <c r="B8" s="194">
        <f>SUMIF(J2:J47,"f2",H2:H47)</f>
        <v>-70</v>
      </c>
      <c r="C8" s="30"/>
      <c r="D8" s="24" t="s">
        <v>622</v>
      </c>
      <c r="E8" s="25"/>
      <c r="G8" s="228" t="s">
        <v>25</v>
      </c>
      <c r="H8" s="229">
        <v>-40</v>
      </c>
      <c r="I8" s="230" t="s">
        <v>87</v>
      </c>
      <c r="J8" s="229" t="s">
        <v>514</v>
      </c>
    </row>
    <row r="9" spans="1:10">
      <c r="A9" s="218" t="s">
        <v>147</v>
      </c>
      <c r="B9" s="194">
        <f>SUMIF(J2:J47,"",H2:H47)</f>
        <v>-2852.35</v>
      </c>
      <c r="C9" s="226"/>
      <c r="D9" s="24"/>
      <c r="E9" s="25"/>
      <c r="G9" s="228" t="s">
        <v>27</v>
      </c>
      <c r="H9" s="229">
        <v>-20</v>
      </c>
      <c r="I9" s="230" t="s">
        <v>87</v>
      </c>
      <c r="J9" s="229"/>
    </row>
    <row r="10" spans="1:10" ht="15" thickBot="1">
      <c r="A10" s="218" t="s">
        <v>202</v>
      </c>
      <c r="B10" s="194">
        <f>SUMIF(J2:J47,"s",H2:H47)</f>
        <v>-40</v>
      </c>
      <c r="C10" s="226"/>
      <c r="D10" s="24" t="s">
        <v>618</v>
      </c>
      <c r="E10" s="25"/>
      <c r="G10" s="228" t="s">
        <v>575</v>
      </c>
      <c r="H10" s="229">
        <v>-55</v>
      </c>
      <c r="I10" s="230" t="s">
        <v>87</v>
      </c>
      <c r="J10" s="229"/>
    </row>
    <row r="11" spans="1:10" ht="15" thickBot="1">
      <c r="A11" s="232"/>
      <c r="C11" s="226"/>
      <c r="D11" s="26" t="s">
        <v>28</v>
      </c>
      <c r="E11" s="27">
        <f>SUM(E2:E10)</f>
        <v>750</v>
      </c>
      <c r="G11" s="228" t="s">
        <v>623</v>
      </c>
      <c r="H11" s="229">
        <v>-7.99</v>
      </c>
      <c r="I11" s="230" t="s">
        <v>87</v>
      </c>
      <c r="J11" s="229" t="s">
        <v>502</v>
      </c>
    </row>
    <row r="12" spans="1:10" ht="15" thickBot="1">
      <c r="A12" s="233"/>
      <c r="B12" s="234"/>
      <c r="C12" s="226"/>
      <c r="D12" s="26"/>
      <c r="E12" s="27"/>
      <c r="G12" s="228" t="s">
        <v>128</v>
      </c>
      <c r="H12" s="235">
        <v>-8.99</v>
      </c>
      <c r="I12" s="230" t="s">
        <v>87</v>
      </c>
      <c r="J12" s="229"/>
    </row>
    <row r="13" spans="1:10" ht="15" thickBot="1">
      <c r="A13" s="27" t="s">
        <v>528</v>
      </c>
      <c r="B13" s="27">
        <v>10000</v>
      </c>
      <c r="C13" s="226"/>
      <c r="D13" s="26" t="s">
        <v>543</v>
      </c>
      <c r="E13" s="27">
        <v>4025</v>
      </c>
      <c r="G13" s="228" t="s">
        <v>33</v>
      </c>
      <c r="H13" s="229">
        <v>-239</v>
      </c>
      <c r="I13" s="230" t="s">
        <v>87</v>
      </c>
      <c r="J13" s="229"/>
    </row>
    <row r="14" spans="1:10" ht="15" thickBot="1">
      <c r="A14" s="27" t="s">
        <v>501</v>
      </c>
      <c r="B14" s="27">
        <v>4000</v>
      </c>
      <c r="C14" s="226"/>
      <c r="D14" s="27"/>
      <c r="E14" s="27"/>
      <c r="G14" s="228" t="s">
        <v>34</v>
      </c>
      <c r="H14" s="229">
        <v>-13</v>
      </c>
      <c r="I14" s="230" t="s">
        <v>87</v>
      </c>
      <c r="J14" s="229"/>
    </row>
    <row r="15" spans="1:10" ht="15" thickBot="1">
      <c r="A15" s="27" t="s">
        <v>529</v>
      </c>
      <c r="B15" s="27"/>
      <c r="C15" s="226"/>
      <c r="D15" s="26" t="s">
        <v>111</v>
      </c>
      <c r="E15" s="27">
        <v>208</v>
      </c>
      <c r="G15" s="228" t="s">
        <v>470</v>
      </c>
      <c r="H15" s="229">
        <v>-10</v>
      </c>
      <c r="I15" s="230" t="s">
        <v>87</v>
      </c>
      <c r="J15" s="229"/>
    </row>
    <row r="16" spans="1:10" ht="15" thickBot="1">
      <c r="A16" s="27" t="s">
        <v>530</v>
      </c>
      <c r="B16" s="246">
        <f>B14/B13</f>
        <v>0.4</v>
      </c>
      <c r="C16" s="226"/>
      <c r="D16" s="26" t="s">
        <v>637</v>
      </c>
      <c r="E16" s="27">
        <v>200</v>
      </c>
      <c r="G16" s="228" t="s">
        <v>34</v>
      </c>
      <c r="H16" s="229">
        <v>-57</v>
      </c>
      <c r="I16" s="230" t="s">
        <v>87</v>
      </c>
      <c r="J16" s="229"/>
    </row>
    <row r="17" spans="1:11" ht="15" thickBot="1">
      <c r="A17" s="211"/>
      <c r="B17" s="236"/>
      <c r="C17" s="226"/>
      <c r="D17" s="26" t="s">
        <v>638</v>
      </c>
      <c r="E17" s="27">
        <v>500</v>
      </c>
      <c r="G17" s="228" t="s">
        <v>39</v>
      </c>
      <c r="H17" s="229">
        <v>-1.5</v>
      </c>
      <c r="I17" s="230" t="s">
        <v>87</v>
      </c>
      <c r="J17" s="229"/>
    </row>
    <row r="18" spans="1:11" ht="15" thickBot="1">
      <c r="A18" s="237" t="s">
        <v>7</v>
      </c>
      <c r="C18" s="226"/>
      <c r="D18" s="26" t="s">
        <v>639</v>
      </c>
      <c r="E18" s="27">
        <v>400</v>
      </c>
      <c r="G18" s="228" t="s">
        <v>479</v>
      </c>
      <c r="H18" s="229">
        <v>-5</v>
      </c>
      <c r="I18" s="230" t="s">
        <v>87</v>
      </c>
      <c r="J18" s="229"/>
    </row>
    <row r="19" spans="1:11" ht="15" thickBot="1">
      <c r="A19" s="219" t="s">
        <v>35</v>
      </c>
      <c r="B19" s="202">
        <v>151455.79</v>
      </c>
      <c r="C19" s="226"/>
      <c r="D19" s="26" t="s">
        <v>640</v>
      </c>
      <c r="E19" s="27">
        <v>200</v>
      </c>
      <c r="G19" s="228" t="s">
        <v>68</v>
      </c>
      <c r="H19" s="229">
        <v>-800</v>
      </c>
      <c r="I19" s="230" t="s">
        <v>87</v>
      </c>
      <c r="J19" s="229" t="s">
        <v>502</v>
      </c>
    </row>
    <row r="20" spans="1:11" ht="15" thickBot="1">
      <c r="A20" s="220" t="s">
        <v>37</v>
      </c>
      <c r="B20" s="203">
        <v>80139.8</v>
      </c>
      <c r="C20" s="226"/>
      <c r="D20" s="26" t="s">
        <v>63</v>
      </c>
      <c r="E20" s="27">
        <v>200</v>
      </c>
      <c r="G20" s="228" t="s">
        <v>70</v>
      </c>
      <c r="H20" s="229">
        <v>-28</v>
      </c>
      <c r="I20" s="230" t="s">
        <v>87</v>
      </c>
      <c r="J20" s="229" t="s">
        <v>502</v>
      </c>
    </row>
    <row r="21" spans="1:11" ht="15" thickBot="1">
      <c r="A21" s="221" t="s">
        <v>38</v>
      </c>
      <c r="B21" s="204">
        <f>SUM(B19:B20)</f>
        <v>231595.59000000003</v>
      </c>
      <c r="C21" s="226"/>
      <c r="D21" s="26" t="s">
        <v>580</v>
      </c>
      <c r="E21" s="27">
        <f>SUM(E15:E20)</f>
        <v>1708</v>
      </c>
      <c r="G21" s="228" t="s">
        <v>404</v>
      </c>
      <c r="H21" s="229">
        <v>-14.99</v>
      </c>
      <c r="I21" s="230" t="s">
        <v>87</v>
      </c>
      <c r="J21" s="229"/>
    </row>
    <row r="22" spans="1:11" ht="15" thickBot="1">
      <c r="A22" s="222" t="s">
        <v>40</v>
      </c>
      <c r="B22" s="205">
        <f>B23*0.2</f>
        <v>92000</v>
      </c>
      <c r="C22" s="226"/>
      <c r="D22" s="226" t="s">
        <v>73</v>
      </c>
      <c r="G22" s="228" t="s">
        <v>49</v>
      </c>
      <c r="H22" s="229">
        <v>-900</v>
      </c>
      <c r="I22" s="230" t="s">
        <v>87</v>
      </c>
      <c r="J22" s="229" t="s">
        <v>502</v>
      </c>
    </row>
    <row r="23" spans="1:11">
      <c r="A23" s="238" t="s">
        <v>43</v>
      </c>
      <c r="B23" s="248">
        <v>460000</v>
      </c>
      <c r="C23" s="226"/>
      <c r="G23" s="228" t="s">
        <v>74</v>
      </c>
      <c r="H23" s="229">
        <v>-11</v>
      </c>
      <c r="I23" s="230" t="s">
        <v>87</v>
      </c>
      <c r="J23" s="229"/>
    </row>
    <row r="24" spans="1:11">
      <c r="A24" s="240" t="s">
        <v>46</v>
      </c>
      <c r="B24" s="247">
        <f>B23-SUM(B21:B22)</f>
        <v>136404.40999999997</v>
      </c>
      <c r="G24" s="228" t="s">
        <v>54</v>
      </c>
      <c r="H24" s="229">
        <v>-80</v>
      </c>
      <c r="I24" s="230" t="s">
        <v>87</v>
      </c>
      <c r="J24" s="229"/>
    </row>
    <row r="25" spans="1:11">
      <c r="G25" s="228" t="s">
        <v>62</v>
      </c>
      <c r="H25" s="229">
        <v>-20</v>
      </c>
      <c r="I25" s="230" t="s">
        <v>87</v>
      </c>
      <c r="J25" s="229"/>
    </row>
    <row r="26" spans="1:11">
      <c r="G26" s="228" t="s">
        <v>55</v>
      </c>
      <c r="H26" s="229">
        <v>-27.7</v>
      </c>
      <c r="I26" s="230" t="s">
        <v>87</v>
      </c>
      <c r="J26" s="229"/>
    </row>
    <row r="27" spans="1:11">
      <c r="G27" s="228" t="s">
        <v>56</v>
      </c>
      <c r="H27" s="229"/>
      <c r="I27" s="230" t="s">
        <v>87</v>
      </c>
      <c r="J27" s="229" t="s">
        <v>502</v>
      </c>
    </row>
    <row r="28" spans="1:11">
      <c r="G28" s="228" t="s">
        <v>78</v>
      </c>
      <c r="H28" s="229">
        <v>-18</v>
      </c>
      <c r="I28" s="230" t="s">
        <v>87</v>
      </c>
      <c r="J28" s="229"/>
      <c r="K28" s="242"/>
    </row>
    <row r="29" spans="1:11">
      <c r="G29" s="244"/>
      <c r="H29" s="229"/>
      <c r="I29" s="230" t="s">
        <v>8</v>
      </c>
      <c r="J29" s="229"/>
    </row>
    <row r="30" spans="1:11">
      <c r="A30" s="31" t="s">
        <v>509</v>
      </c>
      <c r="G30" s="228" t="s">
        <v>79</v>
      </c>
      <c r="H30" s="229">
        <v>-14.5</v>
      </c>
      <c r="I30" s="230" t="s">
        <v>87</v>
      </c>
      <c r="J30" s="229"/>
    </row>
    <row r="31" spans="1:11" ht="15.5">
      <c r="A31" s="243">
        <v>1104841580</v>
      </c>
      <c r="F31" s="30"/>
      <c r="G31" s="228" t="s">
        <v>80</v>
      </c>
      <c r="H31" s="229">
        <v>-35</v>
      </c>
      <c r="I31" s="230" t="s">
        <v>87</v>
      </c>
      <c r="J31" s="229" t="s">
        <v>502</v>
      </c>
    </row>
    <row r="32" spans="1:11">
      <c r="F32" s="30"/>
      <c r="G32" s="228" t="s">
        <v>144</v>
      </c>
      <c r="H32" s="229">
        <v>-75</v>
      </c>
      <c r="I32" s="230" t="s">
        <v>87</v>
      </c>
      <c r="J32" s="229"/>
    </row>
    <row r="33" spans="6:10">
      <c r="F33" s="30"/>
      <c r="G33" s="228" t="s">
        <v>573</v>
      </c>
      <c r="H33" s="229">
        <v>-20</v>
      </c>
      <c r="I33" s="230" t="s">
        <v>87</v>
      </c>
      <c r="J33" s="244"/>
    </row>
    <row r="34" spans="6:10">
      <c r="F34" s="30"/>
      <c r="G34" s="228" t="s">
        <v>84</v>
      </c>
      <c r="H34" s="229">
        <v>-130</v>
      </c>
      <c r="I34" s="230" t="s">
        <v>87</v>
      </c>
      <c r="J34" s="244"/>
    </row>
    <row r="35" spans="6:10">
      <c r="F35" s="30"/>
      <c r="G35" s="244" t="s">
        <v>634</v>
      </c>
      <c r="H35" s="229">
        <v>-70</v>
      </c>
      <c r="I35" s="230" t="s">
        <v>87</v>
      </c>
      <c r="J35" s="244" t="s">
        <v>503</v>
      </c>
    </row>
    <row r="36" spans="6:10">
      <c r="F36" s="30"/>
      <c r="G36" s="244" t="s">
        <v>626</v>
      </c>
      <c r="H36" s="229">
        <v>-60</v>
      </c>
      <c r="I36" s="230" t="s">
        <v>87</v>
      </c>
      <c r="J36" s="244"/>
    </row>
    <row r="37" spans="6:10">
      <c r="F37" s="30"/>
      <c r="G37" s="244" t="s">
        <v>604</v>
      </c>
      <c r="H37" s="229">
        <v>-11</v>
      </c>
      <c r="I37" s="230" t="s">
        <v>87</v>
      </c>
      <c r="J37" s="244"/>
    </row>
    <row r="38" spans="6:10">
      <c r="F38" s="30"/>
      <c r="G38" s="244" t="s">
        <v>609</v>
      </c>
      <c r="H38" s="229">
        <v>-8</v>
      </c>
      <c r="I38" s="230" t="s">
        <v>87</v>
      </c>
      <c r="J38" s="244"/>
    </row>
    <row r="39" spans="6:10">
      <c r="F39" s="30"/>
      <c r="G39" s="244" t="s">
        <v>631</v>
      </c>
      <c r="H39" s="229">
        <v>-500</v>
      </c>
      <c r="I39" s="230" t="s">
        <v>87</v>
      </c>
      <c r="J39" s="244" t="s">
        <v>502</v>
      </c>
    </row>
    <row r="40" spans="6:10">
      <c r="F40" s="30"/>
      <c r="G40" s="244" t="s">
        <v>144</v>
      </c>
      <c r="H40" s="229">
        <v>-136</v>
      </c>
      <c r="I40" s="230" t="s">
        <v>87</v>
      </c>
      <c r="J40" s="244"/>
    </row>
    <row r="41" spans="6:10">
      <c r="F41" s="30"/>
      <c r="G41" s="226" t="s">
        <v>633</v>
      </c>
      <c r="H41" s="226">
        <v>-300</v>
      </c>
      <c r="I41" s="230" t="s">
        <v>87</v>
      </c>
      <c r="J41" s="244"/>
    </row>
    <row r="42" spans="6:10">
      <c r="F42" s="30"/>
      <c r="I42" s="230" t="s">
        <v>8</v>
      </c>
      <c r="J42" s="244"/>
    </row>
    <row r="43" spans="6:10">
      <c r="F43" s="30"/>
      <c r="G43" s="244"/>
      <c r="H43" s="229"/>
      <c r="I43" s="230" t="s">
        <v>8</v>
      </c>
      <c r="J43" s="244"/>
    </row>
    <row r="44" spans="6:10">
      <c r="F44" s="30"/>
      <c r="G44" s="244"/>
      <c r="H44" s="229"/>
      <c r="I44" s="230" t="s">
        <v>8</v>
      </c>
      <c r="J44" s="244"/>
    </row>
    <row r="45" spans="6:10">
      <c r="F45" s="30"/>
      <c r="G45" s="244"/>
      <c r="H45" s="229"/>
      <c r="I45" s="230" t="s">
        <v>8</v>
      </c>
      <c r="J45" s="244"/>
    </row>
    <row r="46" spans="6:10">
      <c r="F46" s="30"/>
      <c r="G46" s="244"/>
      <c r="H46" s="229"/>
      <c r="I46" s="230" t="s">
        <v>8</v>
      </c>
      <c r="J46" s="244"/>
    </row>
    <row r="47" spans="6:10">
      <c r="G47" s="244"/>
      <c r="H47" s="229"/>
      <c r="I47" s="230" t="s">
        <v>8</v>
      </c>
      <c r="J47" s="244"/>
    </row>
  </sheetData>
  <conditionalFormatting sqref="G2:H11 G12 G13:H31 G33:H34">
    <cfRule type="expression" dxfId="248" priority="2">
      <formula>#REF!</formula>
    </cfRule>
  </conditionalFormatting>
  <conditionalFormatting sqref="H29 H35:H40 H43:H47">
    <cfRule type="expression" dxfId="247" priority="1">
      <formula>#REF!</formula>
    </cfRule>
  </conditionalFormatting>
  <conditionalFormatting sqref="I2:I47">
    <cfRule type="containsText" dxfId="246" priority="4" operator="containsText" text="No">
      <formula>NOT(ISERROR(SEARCH("No",I2)))</formula>
    </cfRule>
    <cfRule type="containsText" dxfId="245" priority="5" operator="containsText" text="yes">
      <formula>NOT(ISERROR(SEARCH("yes",I2)))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44" priority="10">
      <formula>#REF!</formula>
    </cfRule>
  </conditionalFormatting>
  <conditionalFormatting sqref="I38:I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43" priority="7">
      <formula>#REF!</formula>
    </cfRule>
  </conditionalFormatting>
  <conditionalFormatting sqref="J2:J31">
    <cfRule type="expression" dxfId="242" priority="8">
      <formula>#REF!</formula>
    </cfRule>
  </conditionalFormatting>
  <conditionalFormatting sqref="J2:J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{7AA80112-57A9-46F2-B7B7-67FFD194B39C}</x14:id>
        </ext>
      </extLst>
    </cfRule>
  </conditionalFormatting>
  <conditionalFormatting sqref="J38:J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{FAC02F1A-7A43-4DC0-BDF2-EF8D733D5E83}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A80112-57A9-46F2-B7B7-67FFD194B3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FAC02F1A-7A43-4DC0-BDF2-EF8D733D5E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I18"/>
  <sheetViews>
    <sheetView zoomScale="160" zoomScaleNormal="160" workbookViewId="0">
      <selection activeCell="B9" sqref="B9"/>
    </sheetView>
  </sheetViews>
  <sheetFormatPr defaultRowHeight="14"/>
  <cols>
    <col min="1" max="1" width="12.58203125" customWidth="1"/>
    <col min="2" max="2" width="11" style="128" customWidth="1"/>
  </cols>
  <sheetData>
    <row r="1" spans="1:9">
      <c r="A1" s="86" t="s">
        <v>203</v>
      </c>
      <c r="B1" s="87">
        <v>150</v>
      </c>
    </row>
    <row r="2" spans="1:9">
      <c r="A2" s="86" t="s">
        <v>361</v>
      </c>
      <c r="B2" s="87"/>
    </row>
    <row r="3" spans="1:9">
      <c r="A3" s="86" t="s">
        <v>468</v>
      </c>
      <c r="B3" s="87"/>
    </row>
    <row r="4" spans="1:9">
      <c r="A4" s="86"/>
      <c r="B4" s="87"/>
    </row>
    <row r="5" spans="1:9">
      <c r="A5" s="86"/>
      <c r="B5" s="87"/>
    </row>
    <row r="6" spans="1:9">
      <c r="A6" s="86" t="s">
        <v>550</v>
      </c>
      <c r="B6" s="87"/>
      <c r="D6" t="s">
        <v>569</v>
      </c>
    </row>
    <row r="7" spans="1:9">
      <c r="A7" s="86" t="s">
        <v>641</v>
      </c>
      <c r="B7" s="87"/>
    </row>
    <row r="8" spans="1:9">
      <c r="A8" s="86" t="s">
        <v>567</v>
      </c>
      <c r="B8" s="87"/>
    </row>
    <row r="9" spans="1:9">
      <c r="A9" s="86" t="s">
        <v>645</v>
      </c>
      <c r="B9" s="87"/>
      <c r="H9" t="s">
        <v>665</v>
      </c>
      <c r="I9">
        <v>15</v>
      </c>
    </row>
    <row r="10" spans="1:9">
      <c r="A10" s="86" t="s">
        <v>158</v>
      </c>
      <c r="B10" s="87"/>
      <c r="H10" t="s">
        <v>666</v>
      </c>
      <c r="I10">
        <v>4</v>
      </c>
    </row>
    <row r="11" spans="1:9">
      <c r="A11" s="148" t="s">
        <v>653</v>
      </c>
      <c r="B11" s="87"/>
      <c r="H11" t="s">
        <v>667</v>
      </c>
      <c r="I11">
        <v>10</v>
      </c>
    </row>
    <row r="12" spans="1:9">
      <c r="A12" s="86" t="s">
        <v>206</v>
      </c>
      <c r="B12" s="87">
        <v>290</v>
      </c>
      <c r="H12" t="s">
        <v>668</v>
      </c>
      <c r="I12">
        <v>10</v>
      </c>
    </row>
    <row r="13" spans="1:9">
      <c r="A13" s="251" t="s">
        <v>654</v>
      </c>
      <c r="B13" s="87"/>
      <c r="H13" t="s">
        <v>669</v>
      </c>
    </row>
    <row r="14" spans="1:9">
      <c r="A14" s="252"/>
      <c r="B14" s="87"/>
      <c r="D14" t="s">
        <v>659</v>
      </c>
      <c r="E14">
        <v>240</v>
      </c>
      <c r="H14" t="s">
        <v>670</v>
      </c>
    </row>
    <row r="15" spans="1:9" ht="14.5" thickBot="1">
      <c r="B15" s="149"/>
      <c r="D15" t="s">
        <v>647</v>
      </c>
      <c r="H15" t="s">
        <v>671</v>
      </c>
      <c r="I15">
        <v>5</v>
      </c>
    </row>
    <row r="16" spans="1:9" ht="14.5" thickBot="1">
      <c r="A16" s="181" t="s">
        <v>362</v>
      </c>
      <c r="B16" s="182">
        <f>SUM(B1:B15)</f>
        <v>440</v>
      </c>
      <c r="D16" t="s">
        <v>369</v>
      </c>
      <c r="E16">
        <v>200</v>
      </c>
      <c r="H16" t="s">
        <v>672</v>
      </c>
      <c r="I16">
        <v>5</v>
      </c>
    </row>
    <row r="17" spans="5:9">
      <c r="E17">
        <f>SUM(E14:E16)</f>
        <v>440</v>
      </c>
      <c r="H17" t="s">
        <v>673</v>
      </c>
    </row>
    <row r="18" spans="5:9">
      <c r="I18">
        <f>SUM(I9:I17)</f>
        <v>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C9A3-F598-4C20-8CFF-518E4423DE69}">
  <dimension ref="A1:K47"/>
  <sheetViews>
    <sheetView zoomScale="145" zoomScaleNormal="145" workbookViewId="0">
      <selection activeCell="I20" sqref="I20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2.58203125" style="226" customWidth="1"/>
    <col min="12" max="253" width="8.58203125" style="226" customWidth="1"/>
    <col min="254" max="16384" width="8.58203125" style="226"/>
  </cols>
  <sheetData>
    <row r="1" spans="1:10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</row>
    <row r="2" spans="1:10">
      <c r="A2" s="213" t="s">
        <v>6</v>
      </c>
      <c r="B2" s="249">
        <v>5155.71</v>
      </c>
      <c r="C2" s="226"/>
      <c r="D2" s="6" t="s">
        <v>520</v>
      </c>
      <c r="E2" s="5">
        <v>80</v>
      </c>
      <c r="G2" s="228" t="s">
        <v>7</v>
      </c>
      <c r="H2" s="229">
        <v>-1268.67</v>
      </c>
      <c r="I2" s="230" t="s">
        <v>87</v>
      </c>
      <c r="J2" s="229"/>
    </row>
    <row r="3" spans="1:10">
      <c r="A3" s="214" t="s">
        <v>9</v>
      </c>
      <c r="B3" s="192">
        <f>SUMIF(I2:I47,"Yes*",H2:H47)</f>
        <v>-5436.9699999999993</v>
      </c>
      <c r="C3" s="226"/>
      <c r="D3" s="24"/>
      <c r="E3" s="25"/>
      <c r="G3" s="228" t="s">
        <v>557</v>
      </c>
      <c r="H3" s="229"/>
      <c r="I3" s="230" t="s">
        <v>8</v>
      </c>
      <c r="J3" s="229" t="s">
        <v>514</v>
      </c>
    </row>
    <row r="4" spans="1:10" outlineLevel="1">
      <c r="A4" s="213" t="s">
        <v>12</v>
      </c>
      <c r="B4" s="249">
        <v>31.91</v>
      </c>
      <c r="C4" s="226"/>
      <c r="D4" s="24" t="s">
        <v>522</v>
      </c>
      <c r="E4" s="25">
        <v>90</v>
      </c>
      <c r="F4" s="231"/>
      <c r="G4" s="228" t="s">
        <v>14</v>
      </c>
      <c r="H4" s="229">
        <v>-39</v>
      </c>
      <c r="I4" s="230" t="s">
        <v>87</v>
      </c>
      <c r="J4" s="229"/>
    </row>
    <row r="5" spans="1:10" ht="15" thickBot="1">
      <c r="A5" s="215" t="s">
        <v>15</v>
      </c>
      <c r="B5" s="200">
        <f>SUMIF(I2:I47,"No",H2:H47)</f>
        <v>0</v>
      </c>
      <c r="C5" s="226"/>
      <c r="D5" s="24" t="s">
        <v>526</v>
      </c>
      <c r="E5" s="25">
        <v>560</v>
      </c>
      <c r="G5" s="228" t="s">
        <v>17</v>
      </c>
      <c r="H5" s="229">
        <v>-35</v>
      </c>
      <c r="I5" s="230" t="s">
        <v>87</v>
      </c>
      <c r="J5" s="229"/>
    </row>
    <row r="6" spans="1:10" ht="15" thickBot="1">
      <c r="A6" s="216" t="s">
        <v>18</v>
      </c>
      <c r="B6" s="29">
        <f>B5+B4</f>
        <v>31.91</v>
      </c>
      <c r="C6" s="226" t="s">
        <v>19</v>
      </c>
      <c r="D6" s="24"/>
      <c r="E6" s="25"/>
      <c r="G6" s="228" t="s">
        <v>21</v>
      </c>
      <c r="H6" s="229">
        <v>-9.75</v>
      </c>
      <c r="I6" s="230" t="s">
        <v>87</v>
      </c>
      <c r="J6" s="229"/>
    </row>
    <row r="7" spans="1:10">
      <c r="A7" s="217" t="s">
        <v>504</v>
      </c>
      <c r="B7" s="201">
        <f>SUMIF(J2:J47,"f1",H2:H47)</f>
        <v>-2392.9899999999998</v>
      </c>
      <c r="C7" s="30"/>
      <c r="D7" s="24" t="s">
        <v>629</v>
      </c>
      <c r="E7" s="25"/>
      <c r="G7" s="228" t="s">
        <v>24</v>
      </c>
      <c r="H7" s="229">
        <v>-155</v>
      </c>
      <c r="I7" s="230" t="s">
        <v>87</v>
      </c>
      <c r="J7" s="229"/>
    </row>
    <row r="8" spans="1:10">
      <c r="A8" s="218" t="s">
        <v>505</v>
      </c>
      <c r="B8" s="194">
        <f>SUMIF(J2:J47,"f2",H2:H47)</f>
        <v>-48</v>
      </c>
      <c r="C8" s="30"/>
      <c r="D8" s="24" t="s">
        <v>632</v>
      </c>
      <c r="E8" s="25"/>
      <c r="G8" s="228" t="s">
        <v>25</v>
      </c>
      <c r="H8" s="229"/>
      <c r="I8" s="230" t="s">
        <v>8</v>
      </c>
      <c r="J8" s="229" t="s">
        <v>514</v>
      </c>
    </row>
    <row r="9" spans="1:10">
      <c r="A9" s="218" t="s">
        <v>147</v>
      </c>
      <c r="B9" s="194">
        <f>SUMIF(J2:J47,"",H2:H47)</f>
        <v>-2995.98</v>
      </c>
      <c r="C9" s="226"/>
      <c r="D9" s="24"/>
      <c r="E9" s="25"/>
      <c r="G9" s="228" t="s">
        <v>27</v>
      </c>
      <c r="H9" s="229">
        <v>-20</v>
      </c>
      <c r="I9" s="230" t="s">
        <v>87</v>
      </c>
      <c r="J9" s="229"/>
    </row>
    <row r="10" spans="1:10" ht="15" thickBot="1">
      <c r="A10" s="218" t="s">
        <v>202</v>
      </c>
      <c r="B10" s="194">
        <f>SUMIF(J2:J47,"s",H2:H47)</f>
        <v>0</v>
      </c>
      <c r="C10" s="226"/>
      <c r="D10" s="24" t="s">
        <v>618</v>
      </c>
      <c r="E10" s="25"/>
      <c r="G10" s="228" t="s">
        <v>575</v>
      </c>
      <c r="H10" s="229">
        <v>-55</v>
      </c>
      <c r="I10" s="230" t="s">
        <v>87</v>
      </c>
      <c r="J10" s="229"/>
    </row>
    <row r="11" spans="1:10" ht="15" thickBot="1">
      <c r="A11" s="232"/>
      <c r="C11" s="226"/>
      <c r="D11" s="26" t="s">
        <v>28</v>
      </c>
      <c r="E11" s="27">
        <f>SUM(E2:E10)</f>
        <v>730</v>
      </c>
      <c r="G11" s="228" t="s">
        <v>623</v>
      </c>
      <c r="H11" s="229">
        <v>-7.99</v>
      </c>
      <c r="I11" s="230" t="s">
        <v>87</v>
      </c>
      <c r="J11" s="229" t="s">
        <v>502</v>
      </c>
    </row>
    <row r="12" spans="1:10" ht="15" thickBot="1">
      <c r="A12" s="233"/>
      <c r="B12" s="234"/>
      <c r="C12" s="226"/>
      <c r="D12" s="26"/>
      <c r="E12" s="27"/>
      <c r="G12" s="228" t="s">
        <v>128</v>
      </c>
      <c r="H12" s="235">
        <v>-8.99</v>
      </c>
      <c r="I12" s="230" t="s">
        <v>87</v>
      </c>
      <c r="J12" s="229"/>
    </row>
    <row r="13" spans="1:10" ht="15" thickBot="1">
      <c r="A13" s="27" t="s">
        <v>528</v>
      </c>
      <c r="B13" s="27">
        <v>10000</v>
      </c>
      <c r="C13" s="226"/>
      <c r="D13" s="26" t="s">
        <v>543</v>
      </c>
      <c r="E13" s="27">
        <v>4508.55</v>
      </c>
      <c r="G13" s="228" t="s">
        <v>33</v>
      </c>
      <c r="H13" s="229">
        <v>-239</v>
      </c>
      <c r="I13" s="230" t="s">
        <v>87</v>
      </c>
      <c r="J13" s="229"/>
    </row>
    <row r="14" spans="1:10" ht="15" thickBot="1">
      <c r="A14" s="27" t="s">
        <v>501</v>
      </c>
      <c r="B14" s="27">
        <v>4508.55</v>
      </c>
      <c r="C14" s="226"/>
      <c r="D14" s="26" t="s">
        <v>580</v>
      </c>
      <c r="E14" s="27"/>
      <c r="G14" s="228" t="s">
        <v>34</v>
      </c>
      <c r="H14" s="229">
        <v>-13</v>
      </c>
      <c r="I14" s="230" t="s">
        <v>87</v>
      </c>
      <c r="J14" s="229"/>
    </row>
    <row r="15" spans="1:10" ht="15" thickBot="1">
      <c r="A15" s="27" t="s">
        <v>529</v>
      </c>
      <c r="B15" s="27"/>
      <c r="C15" s="226"/>
      <c r="D15" s="26"/>
      <c r="E15" s="27"/>
      <c r="G15" s="228" t="s">
        <v>470</v>
      </c>
      <c r="H15" s="229">
        <v>-10</v>
      </c>
      <c r="I15" s="230" t="s">
        <v>87</v>
      </c>
      <c r="J15" s="229"/>
    </row>
    <row r="16" spans="1:10" ht="15" thickBot="1">
      <c r="A16" s="27" t="s">
        <v>530</v>
      </c>
      <c r="B16" s="246">
        <f>B14/B13</f>
        <v>0.45085500000000001</v>
      </c>
      <c r="C16" s="226"/>
      <c r="D16" s="26"/>
      <c r="E16" s="27"/>
      <c r="G16" s="228" t="s">
        <v>34</v>
      </c>
      <c r="H16" s="229">
        <v>-53.5</v>
      </c>
      <c r="I16" s="230" t="s">
        <v>87</v>
      </c>
      <c r="J16" s="229"/>
    </row>
    <row r="17" spans="1:11">
      <c r="A17" s="211"/>
      <c r="B17" s="236"/>
      <c r="C17" s="226"/>
      <c r="G17" s="228" t="s">
        <v>39</v>
      </c>
      <c r="H17" s="229">
        <v>-1.5</v>
      </c>
      <c r="I17" s="230" t="s">
        <v>87</v>
      </c>
      <c r="J17" s="229"/>
    </row>
    <row r="18" spans="1:11">
      <c r="A18" s="237" t="s">
        <v>7</v>
      </c>
      <c r="C18" s="226"/>
      <c r="D18" s="226" t="s">
        <v>116</v>
      </c>
      <c r="G18" s="228" t="s">
        <v>479</v>
      </c>
      <c r="H18" s="229">
        <v>-5</v>
      </c>
      <c r="I18" s="230" t="s">
        <v>87</v>
      </c>
      <c r="J18" s="229"/>
    </row>
    <row r="19" spans="1:11">
      <c r="A19" s="219" t="s">
        <v>35</v>
      </c>
      <c r="B19" s="202">
        <v>151288.74</v>
      </c>
      <c r="C19" s="226"/>
      <c r="G19" s="228" t="s">
        <v>68</v>
      </c>
      <c r="H19" s="229">
        <v>-1000</v>
      </c>
      <c r="I19" s="230" t="s">
        <v>87</v>
      </c>
      <c r="J19" s="229" t="s">
        <v>502</v>
      </c>
    </row>
    <row r="20" spans="1:11" ht="15" thickBot="1">
      <c r="A20" s="220" t="s">
        <v>37</v>
      </c>
      <c r="B20" s="203">
        <v>80051.41</v>
      </c>
      <c r="C20" s="226"/>
      <c r="G20" s="228" t="s">
        <v>70</v>
      </c>
      <c r="H20" s="229">
        <v>-28</v>
      </c>
      <c r="I20" s="230" t="s">
        <v>87</v>
      </c>
      <c r="J20" s="229" t="s">
        <v>503</v>
      </c>
    </row>
    <row r="21" spans="1:11" ht="15" thickBot="1">
      <c r="A21" s="221" t="s">
        <v>38</v>
      </c>
      <c r="B21" s="204">
        <f>SUM(B19:B20)</f>
        <v>231340.15</v>
      </c>
      <c r="C21" s="226"/>
      <c r="G21" s="228" t="s">
        <v>404</v>
      </c>
      <c r="H21" s="229">
        <v>-14.99</v>
      </c>
      <c r="I21" s="230" t="s">
        <v>87</v>
      </c>
      <c r="J21" s="229"/>
    </row>
    <row r="22" spans="1:11" ht="15" thickBot="1">
      <c r="A22" s="222" t="s">
        <v>40</v>
      </c>
      <c r="B22" s="205">
        <f>B23*0.2</f>
        <v>92000</v>
      </c>
      <c r="C22" s="226"/>
      <c r="D22" s="226" t="s">
        <v>73</v>
      </c>
      <c r="G22" s="228" t="s">
        <v>49</v>
      </c>
      <c r="H22" s="229">
        <v>-1150</v>
      </c>
      <c r="I22" s="230" t="s">
        <v>87</v>
      </c>
      <c r="J22" s="229" t="s">
        <v>502</v>
      </c>
    </row>
    <row r="23" spans="1:11">
      <c r="A23" s="238" t="s">
        <v>43</v>
      </c>
      <c r="B23" s="248">
        <v>460000</v>
      </c>
      <c r="C23" s="226"/>
      <c r="G23" s="228" t="s">
        <v>74</v>
      </c>
      <c r="H23" s="229">
        <v>-11</v>
      </c>
      <c r="I23" s="230" t="s">
        <v>87</v>
      </c>
      <c r="J23" s="229"/>
    </row>
    <row r="24" spans="1:11">
      <c r="A24" s="240" t="s">
        <v>46</v>
      </c>
      <c r="B24" s="247">
        <f>B23-SUM(B21:B22)</f>
        <v>136659.84999999998</v>
      </c>
      <c r="G24" s="228" t="s">
        <v>628</v>
      </c>
      <c r="H24" s="229">
        <v>-210</v>
      </c>
      <c r="I24" s="230" t="s">
        <v>87</v>
      </c>
      <c r="J24" s="229"/>
    </row>
    <row r="25" spans="1:11">
      <c r="G25" s="228" t="s">
        <v>62</v>
      </c>
      <c r="H25" s="229">
        <v>-20</v>
      </c>
      <c r="I25" s="230" t="s">
        <v>87</v>
      </c>
      <c r="J25" s="229"/>
    </row>
    <row r="26" spans="1:11">
      <c r="G26" s="228" t="s">
        <v>55</v>
      </c>
      <c r="H26" s="229">
        <v>-27.7</v>
      </c>
      <c r="I26" s="230" t="s">
        <v>87</v>
      </c>
      <c r="J26" s="229"/>
    </row>
    <row r="27" spans="1:11">
      <c r="G27" s="228" t="s">
        <v>56</v>
      </c>
      <c r="H27" s="229">
        <v>-80</v>
      </c>
      <c r="I27" s="230" t="s">
        <v>87</v>
      </c>
      <c r="J27" s="229" t="s">
        <v>502</v>
      </c>
    </row>
    <row r="28" spans="1:11">
      <c r="G28" s="228" t="s">
        <v>78</v>
      </c>
      <c r="H28" s="229">
        <v>-18</v>
      </c>
      <c r="I28" s="230" t="s">
        <v>87</v>
      </c>
      <c r="J28" s="229"/>
      <c r="K28" s="242"/>
    </row>
    <row r="29" spans="1:11">
      <c r="G29" s="244" t="s">
        <v>118</v>
      </c>
      <c r="H29" s="229">
        <v>-70</v>
      </c>
      <c r="I29" s="230" t="s">
        <v>87</v>
      </c>
      <c r="J29" s="229"/>
    </row>
    <row r="30" spans="1:11">
      <c r="A30" s="31" t="s">
        <v>509</v>
      </c>
      <c r="G30" s="228" t="s">
        <v>79</v>
      </c>
      <c r="H30" s="229">
        <v>-14.5</v>
      </c>
      <c r="I30" s="230" t="s">
        <v>87</v>
      </c>
      <c r="J30" s="229"/>
    </row>
    <row r="31" spans="1:11" ht="15.5">
      <c r="A31" s="243">
        <v>1104841580</v>
      </c>
      <c r="F31" s="30"/>
      <c r="G31" s="228" t="s">
        <v>80</v>
      </c>
      <c r="H31" s="229">
        <v>-35</v>
      </c>
      <c r="I31" s="230" t="s">
        <v>87</v>
      </c>
      <c r="J31" s="229" t="s">
        <v>502</v>
      </c>
    </row>
    <row r="32" spans="1:11">
      <c r="F32" s="30"/>
      <c r="G32" s="228" t="s">
        <v>144</v>
      </c>
      <c r="H32" s="229">
        <v>-100</v>
      </c>
      <c r="I32" s="230" t="s">
        <v>87</v>
      </c>
      <c r="J32" s="229"/>
    </row>
    <row r="33" spans="6:10">
      <c r="F33" s="30"/>
      <c r="G33" s="228" t="s">
        <v>573</v>
      </c>
      <c r="H33" s="229">
        <v>-25</v>
      </c>
      <c r="I33" s="230" t="s">
        <v>87</v>
      </c>
      <c r="J33" s="244"/>
    </row>
    <row r="34" spans="6:10">
      <c r="F34" s="30"/>
      <c r="G34" s="228" t="s">
        <v>84</v>
      </c>
      <c r="H34" s="229">
        <v>-130</v>
      </c>
      <c r="I34" s="230" t="s">
        <v>87</v>
      </c>
      <c r="J34" s="244"/>
    </row>
    <row r="35" spans="6:10">
      <c r="F35" s="30"/>
      <c r="G35" s="244" t="s">
        <v>574</v>
      </c>
      <c r="H35" s="229">
        <v>-20</v>
      </c>
      <c r="I35" s="230" t="s">
        <v>87</v>
      </c>
      <c r="J35" s="244" t="s">
        <v>503</v>
      </c>
    </row>
    <row r="36" spans="6:10">
      <c r="F36" s="30"/>
      <c r="G36" s="244" t="s">
        <v>626</v>
      </c>
      <c r="H36" s="229">
        <v>-120</v>
      </c>
      <c r="I36" s="230" t="s">
        <v>87</v>
      </c>
      <c r="J36" s="244" t="s">
        <v>502</v>
      </c>
    </row>
    <row r="37" spans="6:10">
      <c r="F37" s="30"/>
      <c r="G37" s="244" t="s">
        <v>604</v>
      </c>
      <c r="H37" s="229">
        <v>-11</v>
      </c>
      <c r="I37" s="230" t="s">
        <v>87</v>
      </c>
      <c r="J37" s="244"/>
    </row>
    <row r="38" spans="6:10">
      <c r="F38" s="30"/>
      <c r="G38" s="244" t="s">
        <v>609</v>
      </c>
      <c r="H38" s="229">
        <v>-8</v>
      </c>
      <c r="I38" s="230" t="s">
        <v>87</v>
      </c>
      <c r="J38" s="244"/>
    </row>
    <row r="39" spans="6:10">
      <c r="F39" s="30"/>
      <c r="G39" s="244" t="s">
        <v>629</v>
      </c>
      <c r="H39" s="229">
        <v>-50</v>
      </c>
      <c r="I39" s="230" t="s">
        <v>87</v>
      </c>
      <c r="J39" s="244"/>
    </row>
    <row r="40" spans="6:10">
      <c r="F40" s="30"/>
      <c r="G40" s="244" t="s">
        <v>630</v>
      </c>
      <c r="H40" s="229">
        <v>-50</v>
      </c>
      <c r="I40" s="230" t="s">
        <v>87</v>
      </c>
      <c r="J40" s="244"/>
    </row>
    <row r="41" spans="6:10">
      <c r="F41" s="30"/>
      <c r="G41" s="226" t="s">
        <v>552</v>
      </c>
      <c r="H41" s="226">
        <v>-322.38</v>
      </c>
      <c r="I41" s="230" t="s">
        <v>87</v>
      </c>
      <c r="J41" s="244"/>
    </row>
    <row r="42" spans="6:10">
      <c r="F42" s="30"/>
      <c r="I42" s="230" t="s">
        <v>8</v>
      </c>
      <c r="J42" s="244"/>
    </row>
    <row r="43" spans="6:10">
      <c r="F43" s="30"/>
      <c r="G43" s="244"/>
      <c r="H43" s="229"/>
      <c r="I43" s="230" t="s">
        <v>8</v>
      </c>
      <c r="J43" s="244"/>
    </row>
    <row r="44" spans="6:10">
      <c r="F44" s="30"/>
      <c r="G44" s="244"/>
      <c r="H44" s="229"/>
      <c r="I44" s="230" t="s">
        <v>8</v>
      </c>
      <c r="J44" s="244"/>
    </row>
    <row r="45" spans="6:10">
      <c r="F45" s="30"/>
      <c r="G45" s="244"/>
      <c r="H45" s="229"/>
      <c r="I45" s="230" t="s">
        <v>8</v>
      </c>
      <c r="J45" s="244"/>
    </row>
    <row r="46" spans="6:10">
      <c r="F46" s="30"/>
      <c r="G46" s="244"/>
      <c r="H46" s="229"/>
      <c r="I46" s="230" t="s">
        <v>8</v>
      </c>
      <c r="J46" s="244"/>
    </row>
    <row r="47" spans="6:10">
      <c r="G47" s="244"/>
      <c r="H47" s="229"/>
      <c r="I47" s="230" t="s">
        <v>8</v>
      </c>
      <c r="J47" s="244"/>
    </row>
  </sheetData>
  <conditionalFormatting sqref="G2:H11 G12 G13:H31 G33:H34">
    <cfRule type="expression" dxfId="241" priority="2">
      <formula>#REF!</formula>
    </cfRule>
  </conditionalFormatting>
  <conditionalFormatting sqref="H29 H35:H40 H43:H47">
    <cfRule type="expression" dxfId="240" priority="1">
      <formula>#REF!</formula>
    </cfRule>
  </conditionalFormatting>
  <conditionalFormatting sqref="I2:I47">
    <cfRule type="containsText" dxfId="239" priority="4" operator="containsText" text="No">
      <formula>NOT(ISERROR(SEARCH("No",I2)))</formula>
    </cfRule>
    <cfRule type="containsText" dxfId="238" priority="5" operator="containsText" text="yes">
      <formula>NOT(ISERROR(SEARCH("yes",I2)))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37" priority="10">
      <formula>#REF!</formula>
    </cfRule>
  </conditionalFormatting>
  <conditionalFormatting sqref="I38:I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36" priority="7">
      <formula>#REF!</formula>
    </cfRule>
  </conditionalFormatting>
  <conditionalFormatting sqref="J2:J31">
    <cfRule type="expression" dxfId="235" priority="8">
      <formula>#REF!</formula>
    </cfRule>
  </conditionalFormatting>
  <conditionalFormatting sqref="J2:J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{A22FDD92-0CED-4467-A23D-6975D7570EAF}</x14:id>
        </ext>
      </extLst>
    </cfRule>
  </conditionalFormatting>
  <conditionalFormatting sqref="J38:J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{8AAB6EDC-E36D-48D4-B811-02D728F72E5B}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2FDD92-0CED-4467-A23D-6975D7570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8AAB6EDC-E36D-48D4-B811-02D728F72E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B0CC-A88F-4BF1-9678-5AAFB2F84538}">
  <dimension ref="A1:K47"/>
  <sheetViews>
    <sheetView topLeftCell="A16" zoomScale="145" zoomScaleNormal="145" workbookViewId="0">
      <selection activeCell="H36" sqref="H36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2.58203125" style="226" customWidth="1"/>
    <col min="12" max="253" width="8.58203125" style="226" customWidth="1"/>
    <col min="254" max="16384" width="8.58203125" style="226"/>
  </cols>
  <sheetData>
    <row r="1" spans="1:10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</row>
    <row r="2" spans="1:10">
      <c r="A2" s="213" t="s">
        <v>6</v>
      </c>
      <c r="B2" s="249">
        <v>5155.71</v>
      </c>
      <c r="C2" s="226"/>
      <c r="D2" s="6" t="s">
        <v>520</v>
      </c>
      <c r="E2" s="5">
        <v>80</v>
      </c>
      <c r="G2" s="228" t="s">
        <v>7</v>
      </c>
      <c r="H2" s="229">
        <v>-1268.67</v>
      </c>
      <c r="I2" s="230" t="s">
        <v>87</v>
      </c>
      <c r="J2" s="229"/>
    </row>
    <row r="3" spans="1:10">
      <c r="A3" s="214" t="s">
        <v>9</v>
      </c>
      <c r="B3" s="192">
        <f>SUMIF(I2:I47,"Yes*",H2:H47)</f>
        <v>-5324.9400000000005</v>
      </c>
      <c r="C3" s="226"/>
      <c r="D3" s="24"/>
      <c r="E3" s="25"/>
      <c r="G3" s="228" t="s">
        <v>557</v>
      </c>
      <c r="H3" s="229">
        <v>-200</v>
      </c>
      <c r="I3" s="230" t="s">
        <v>87</v>
      </c>
      <c r="J3" s="229" t="s">
        <v>514</v>
      </c>
    </row>
    <row r="4" spans="1:10" outlineLevel="1">
      <c r="A4" s="213" t="s">
        <v>12</v>
      </c>
      <c r="B4" s="249">
        <v>13.49</v>
      </c>
      <c r="C4" s="226"/>
      <c r="D4" s="24" t="s">
        <v>522</v>
      </c>
      <c r="E4" s="25">
        <v>70</v>
      </c>
      <c r="F4" s="231"/>
      <c r="G4" s="228" t="s">
        <v>627</v>
      </c>
      <c r="H4" s="229">
        <v>-39</v>
      </c>
      <c r="I4" s="230" t="s">
        <v>87</v>
      </c>
      <c r="J4" s="229"/>
    </row>
    <row r="5" spans="1:10" ht="15" thickBot="1">
      <c r="A5" s="215" t="s">
        <v>15</v>
      </c>
      <c r="B5" s="200">
        <f>SUMIF(I2:I47,"No",H2:H47)</f>
        <v>0</v>
      </c>
      <c r="C5" s="226"/>
      <c r="D5" s="24" t="s">
        <v>526</v>
      </c>
      <c r="E5" s="25">
        <v>560</v>
      </c>
      <c r="G5" s="228" t="s">
        <v>17</v>
      </c>
      <c r="H5" s="229">
        <v>-39</v>
      </c>
      <c r="I5" s="230" t="s">
        <v>87</v>
      </c>
      <c r="J5" s="229"/>
    </row>
    <row r="6" spans="1:10" ht="15" thickBot="1">
      <c r="A6" s="216" t="s">
        <v>18</v>
      </c>
      <c r="B6" s="29">
        <f>B5+B4</f>
        <v>13.49</v>
      </c>
      <c r="C6" s="226" t="s">
        <v>19</v>
      </c>
      <c r="D6" s="24"/>
      <c r="E6" s="25"/>
      <c r="G6" s="228" t="s">
        <v>21</v>
      </c>
      <c r="H6" s="229">
        <v>-15</v>
      </c>
      <c r="I6" s="230" t="s">
        <v>87</v>
      </c>
      <c r="J6" s="229"/>
    </row>
    <row r="7" spans="1:10">
      <c r="A7" s="217" t="s">
        <v>504</v>
      </c>
      <c r="B7" s="201">
        <f>SUMIF(J2:J47,"f1",H2:H47)</f>
        <v>-2236.9899999999998</v>
      </c>
      <c r="C7" s="30"/>
      <c r="D7" s="24" t="s">
        <v>621</v>
      </c>
      <c r="E7" s="25"/>
      <c r="G7" s="228" t="s">
        <v>24</v>
      </c>
      <c r="H7" s="229">
        <v>-155</v>
      </c>
      <c r="I7" s="230" t="s">
        <v>87</v>
      </c>
      <c r="J7" s="229"/>
    </row>
    <row r="8" spans="1:10">
      <c r="A8" s="218" t="s">
        <v>505</v>
      </c>
      <c r="B8" s="194">
        <f>SUMIF(J2:J47,"f2",H2:H47)</f>
        <v>-81</v>
      </c>
      <c r="C8" s="30"/>
      <c r="D8" s="24" t="s">
        <v>622</v>
      </c>
      <c r="E8" s="25"/>
      <c r="G8" s="228" t="s">
        <v>25</v>
      </c>
      <c r="H8" s="229">
        <v>-40</v>
      </c>
      <c r="I8" s="230" t="s">
        <v>87</v>
      </c>
      <c r="J8" s="229" t="s">
        <v>514</v>
      </c>
    </row>
    <row r="9" spans="1:10">
      <c r="A9" s="218" t="s">
        <v>147</v>
      </c>
      <c r="B9" s="194">
        <f>SUMIF(J2:J47,"",H2:H47)</f>
        <v>-2766.95</v>
      </c>
      <c r="C9" s="226"/>
      <c r="D9" s="24"/>
      <c r="E9" s="25"/>
      <c r="G9" s="228" t="s">
        <v>27</v>
      </c>
      <c r="H9" s="229">
        <v>-20</v>
      </c>
      <c r="I9" s="230" t="s">
        <v>87</v>
      </c>
      <c r="J9" s="229"/>
    </row>
    <row r="10" spans="1:10" ht="15" thickBot="1">
      <c r="A10" s="218" t="s">
        <v>202</v>
      </c>
      <c r="B10" s="194">
        <f>SUMIF(J2:J47,"s",H2:H47)</f>
        <v>-240</v>
      </c>
      <c r="C10" s="226"/>
      <c r="D10" s="24" t="s">
        <v>618</v>
      </c>
      <c r="E10" s="25"/>
      <c r="G10" s="228" t="s">
        <v>575</v>
      </c>
      <c r="H10" s="229">
        <v>-25</v>
      </c>
      <c r="I10" s="230" t="s">
        <v>87</v>
      </c>
      <c r="J10" s="229"/>
    </row>
    <row r="11" spans="1:10" ht="15" thickBot="1">
      <c r="A11" s="232"/>
      <c r="C11" s="226"/>
      <c r="D11" s="26" t="s">
        <v>28</v>
      </c>
      <c r="E11" s="27">
        <f>SUM(E2:E10)</f>
        <v>710</v>
      </c>
      <c r="G11" s="228" t="s">
        <v>623</v>
      </c>
      <c r="H11" s="229">
        <v>-7.99</v>
      </c>
      <c r="I11" s="230" t="s">
        <v>87</v>
      </c>
      <c r="J11" s="229" t="s">
        <v>502</v>
      </c>
    </row>
    <row r="12" spans="1:10" ht="15" thickBot="1">
      <c r="A12" s="233"/>
      <c r="B12" s="234"/>
      <c r="C12" s="226"/>
      <c r="D12" s="26"/>
      <c r="E12" s="27"/>
      <c r="G12" s="228" t="s">
        <v>128</v>
      </c>
      <c r="H12" s="235">
        <v>-8.99</v>
      </c>
      <c r="I12" s="230" t="s">
        <v>87</v>
      </c>
      <c r="J12" s="229"/>
    </row>
    <row r="13" spans="1:10" ht="15" thickBot="1">
      <c r="A13" s="27" t="s">
        <v>528</v>
      </c>
      <c r="B13" s="27">
        <v>10000</v>
      </c>
      <c r="C13" s="226"/>
      <c r="D13" s="26" t="s">
        <v>543</v>
      </c>
      <c r="E13" s="27">
        <v>4500</v>
      </c>
      <c r="G13" s="228" t="s">
        <v>33</v>
      </c>
      <c r="H13" s="229">
        <v>-239</v>
      </c>
      <c r="I13" s="230" t="s">
        <v>87</v>
      </c>
      <c r="J13" s="229"/>
    </row>
    <row r="14" spans="1:10" ht="15" thickBot="1">
      <c r="A14" s="27" t="s">
        <v>501</v>
      </c>
      <c r="B14" s="27">
        <v>4324</v>
      </c>
      <c r="C14" s="226"/>
      <c r="D14" s="26" t="s">
        <v>580</v>
      </c>
      <c r="E14" s="27"/>
      <c r="G14" s="228" t="s">
        <v>34</v>
      </c>
      <c r="H14" s="229">
        <v>-13</v>
      </c>
      <c r="I14" s="230" t="s">
        <v>87</v>
      </c>
      <c r="J14" s="229"/>
    </row>
    <row r="15" spans="1:10" ht="15" thickBot="1">
      <c r="A15" s="27" t="s">
        <v>529</v>
      </c>
      <c r="B15" s="27"/>
      <c r="C15" s="226"/>
      <c r="D15" s="26"/>
      <c r="E15" s="27"/>
      <c r="G15" s="228" t="s">
        <v>470</v>
      </c>
      <c r="H15" s="229">
        <v>-10</v>
      </c>
      <c r="I15" s="230" t="s">
        <v>87</v>
      </c>
      <c r="J15" s="229"/>
    </row>
    <row r="16" spans="1:10" ht="15" thickBot="1">
      <c r="A16" s="27" t="s">
        <v>530</v>
      </c>
      <c r="B16" s="246">
        <f>B14/B13</f>
        <v>0.43240000000000001</v>
      </c>
      <c r="C16" s="226"/>
      <c r="D16" s="26"/>
      <c r="E16" s="27"/>
      <c r="G16" s="228" t="s">
        <v>34</v>
      </c>
      <c r="H16" s="229">
        <v>-53.5</v>
      </c>
      <c r="I16" s="230" t="s">
        <v>87</v>
      </c>
      <c r="J16" s="229"/>
    </row>
    <row r="17" spans="1:11">
      <c r="A17" s="211"/>
      <c r="B17" s="236"/>
      <c r="C17" s="226"/>
      <c r="G17" s="228" t="s">
        <v>39</v>
      </c>
      <c r="H17" s="229">
        <v>-1.8</v>
      </c>
      <c r="I17" s="230" t="s">
        <v>87</v>
      </c>
      <c r="J17" s="229"/>
    </row>
    <row r="18" spans="1:11">
      <c r="A18" s="237" t="s">
        <v>7</v>
      </c>
      <c r="C18" s="226"/>
      <c r="D18" s="226" t="s">
        <v>116</v>
      </c>
      <c r="G18" s="228" t="s">
        <v>479</v>
      </c>
      <c r="H18" s="229">
        <v>-5</v>
      </c>
      <c r="I18" s="230" t="s">
        <v>87</v>
      </c>
      <c r="J18" s="229"/>
    </row>
    <row r="19" spans="1:11">
      <c r="A19" s="219" t="s">
        <v>35</v>
      </c>
      <c r="B19" s="202">
        <v>151455.79</v>
      </c>
      <c r="C19" s="226"/>
      <c r="G19" s="228" t="s">
        <v>68</v>
      </c>
      <c r="H19" s="229">
        <v>-800</v>
      </c>
      <c r="I19" s="230" t="s">
        <v>87</v>
      </c>
      <c r="J19" s="229" t="s">
        <v>502</v>
      </c>
    </row>
    <row r="20" spans="1:11" ht="15" thickBot="1">
      <c r="A20" s="220" t="s">
        <v>37</v>
      </c>
      <c r="B20" s="203">
        <v>80139.8</v>
      </c>
      <c r="C20" s="226"/>
      <c r="G20" s="228" t="s">
        <v>70</v>
      </c>
      <c r="H20" s="229">
        <v>-28</v>
      </c>
      <c r="I20" s="230" t="s">
        <v>87</v>
      </c>
      <c r="J20" s="229" t="s">
        <v>503</v>
      </c>
    </row>
    <row r="21" spans="1:11" ht="15" thickBot="1">
      <c r="A21" s="221" t="s">
        <v>38</v>
      </c>
      <c r="B21" s="204">
        <f>SUM(B19:B20)</f>
        <v>231595.59000000003</v>
      </c>
      <c r="C21" s="226"/>
      <c r="G21" s="228" t="s">
        <v>404</v>
      </c>
      <c r="H21" s="229">
        <v>-14.99</v>
      </c>
      <c r="I21" s="230" t="s">
        <v>87</v>
      </c>
      <c r="J21" s="229"/>
    </row>
    <row r="22" spans="1:11" ht="15" thickBot="1">
      <c r="A22" s="222" t="s">
        <v>40</v>
      </c>
      <c r="B22" s="205">
        <f>B23*0.2</f>
        <v>92000</v>
      </c>
      <c r="C22" s="226"/>
      <c r="D22" s="226" t="s">
        <v>73</v>
      </c>
      <c r="G22" s="228" t="s">
        <v>49</v>
      </c>
      <c r="H22" s="229">
        <v>-900</v>
      </c>
      <c r="I22" s="230" t="s">
        <v>87</v>
      </c>
      <c r="J22" s="229" t="s">
        <v>502</v>
      </c>
    </row>
    <row r="23" spans="1:11">
      <c r="A23" s="238" t="s">
        <v>43</v>
      </c>
      <c r="B23" s="248">
        <v>460000</v>
      </c>
      <c r="C23" s="226"/>
      <c r="G23" s="228" t="s">
        <v>74</v>
      </c>
      <c r="H23" s="229">
        <v>-11</v>
      </c>
      <c r="I23" s="230" t="s">
        <v>87</v>
      </c>
      <c r="J23" s="229"/>
    </row>
    <row r="24" spans="1:11">
      <c r="A24" s="240" t="s">
        <v>46</v>
      </c>
      <c r="B24" s="247">
        <f>B23-SUM(B21:B22)</f>
        <v>136404.40999999997</v>
      </c>
      <c r="G24" s="228" t="s">
        <v>624</v>
      </c>
      <c r="H24" s="229">
        <v>-314</v>
      </c>
      <c r="I24" s="230" t="s">
        <v>87</v>
      </c>
      <c r="J24" s="229" t="s">
        <v>502</v>
      </c>
    </row>
    <row r="25" spans="1:11">
      <c r="G25" s="228" t="s">
        <v>62</v>
      </c>
      <c r="H25" s="229">
        <v>-20</v>
      </c>
      <c r="I25" s="230" t="s">
        <v>87</v>
      </c>
      <c r="J25" s="229"/>
    </row>
    <row r="26" spans="1:11">
      <c r="G26" s="228" t="s">
        <v>55</v>
      </c>
      <c r="H26" s="229">
        <v>-27.7</v>
      </c>
      <c r="I26" s="230" t="s">
        <v>87</v>
      </c>
      <c r="J26" s="229"/>
    </row>
    <row r="27" spans="1:11">
      <c r="G27" s="228" t="s">
        <v>56</v>
      </c>
      <c r="H27" s="229">
        <v>-80</v>
      </c>
      <c r="I27" s="230" t="s">
        <v>87</v>
      </c>
      <c r="J27" s="229" t="s">
        <v>502</v>
      </c>
    </row>
    <row r="28" spans="1:11">
      <c r="G28" s="228" t="s">
        <v>78</v>
      </c>
      <c r="H28" s="229">
        <v>-18</v>
      </c>
      <c r="I28" s="230" t="s">
        <v>87</v>
      </c>
      <c r="J28" s="229"/>
      <c r="K28" s="242"/>
    </row>
    <row r="29" spans="1:11">
      <c r="G29" s="228" t="s">
        <v>57</v>
      </c>
      <c r="H29" s="229">
        <v>-33</v>
      </c>
      <c r="I29" s="230" t="s">
        <v>87</v>
      </c>
      <c r="J29" s="229" t="s">
        <v>503</v>
      </c>
    </row>
    <row r="30" spans="1:11">
      <c r="A30" s="31" t="s">
        <v>509</v>
      </c>
      <c r="G30" s="228" t="s">
        <v>79</v>
      </c>
      <c r="H30" s="229">
        <v>-14.3</v>
      </c>
      <c r="I30" s="230" t="s">
        <v>87</v>
      </c>
      <c r="J30" s="229"/>
    </row>
    <row r="31" spans="1:11" ht="15.5">
      <c r="A31" s="243">
        <v>1104841580</v>
      </c>
      <c r="F31" s="30"/>
      <c r="G31" s="228" t="s">
        <v>80</v>
      </c>
      <c r="H31" s="229">
        <v>-35</v>
      </c>
      <c r="I31" s="230" t="s">
        <v>87</v>
      </c>
      <c r="J31" s="229" t="s">
        <v>502</v>
      </c>
    </row>
    <row r="32" spans="1:11">
      <c r="F32" s="30"/>
      <c r="G32" s="228" t="s">
        <v>144</v>
      </c>
      <c r="H32" s="229">
        <v>-100</v>
      </c>
      <c r="I32" s="230" t="s">
        <v>87</v>
      </c>
      <c r="J32" s="229"/>
    </row>
    <row r="33" spans="6:10">
      <c r="F33" s="30"/>
      <c r="G33" s="228" t="s">
        <v>573</v>
      </c>
      <c r="H33" s="229">
        <v>-20</v>
      </c>
      <c r="I33" s="230" t="s">
        <v>87</v>
      </c>
      <c r="J33" s="244"/>
    </row>
    <row r="34" spans="6:10">
      <c r="F34" s="30"/>
      <c r="G34" s="228" t="s">
        <v>84</v>
      </c>
      <c r="H34" s="229">
        <v>-130</v>
      </c>
      <c r="I34" s="230" t="s">
        <v>87</v>
      </c>
      <c r="J34" s="244"/>
    </row>
    <row r="35" spans="6:10">
      <c r="F35" s="30"/>
      <c r="G35" s="244" t="s">
        <v>574</v>
      </c>
      <c r="H35" s="229">
        <v>-20</v>
      </c>
      <c r="I35" s="230" t="s">
        <v>87</v>
      </c>
      <c r="J35" s="244" t="s">
        <v>503</v>
      </c>
    </row>
    <row r="36" spans="6:10">
      <c r="F36" s="30"/>
      <c r="G36" s="244" t="s">
        <v>552</v>
      </c>
      <c r="H36" s="229">
        <v>-189</v>
      </c>
      <c r="I36" s="230" t="s">
        <v>87</v>
      </c>
      <c r="J36" s="244"/>
    </row>
    <row r="37" spans="6:10">
      <c r="F37" s="30"/>
      <c r="G37" s="244" t="s">
        <v>604</v>
      </c>
      <c r="H37" s="229">
        <v>-11</v>
      </c>
      <c r="I37" s="230" t="s">
        <v>87</v>
      </c>
      <c r="J37" s="244"/>
    </row>
    <row r="38" spans="6:10">
      <c r="F38" s="30"/>
      <c r="G38" s="244" t="s">
        <v>609</v>
      </c>
      <c r="H38" s="229">
        <v>-8</v>
      </c>
      <c r="I38" s="230" t="s">
        <v>87</v>
      </c>
      <c r="J38" s="244"/>
    </row>
    <row r="39" spans="6:10">
      <c r="F39" s="30"/>
      <c r="G39" s="244" t="s">
        <v>555</v>
      </c>
      <c r="H39" s="229">
        <v>-100</v>
      </c>
      <c r="I39" s="230" t="s">
        <v>87</v>
      </c>
      <c r="J39" s="244" t="s">
        <v>502</v>
      </c>
    </row>
    <row r="40" spans="6:10">
      <c r="F40" s="30"/>
      <c r="G40" s="244" t="s">
        <v>625</v>
      </c>
      <c r="H40" s="229">
        <v>-210</v>
      </c>
      <c r="I40" s="230" t="s">
        <v>87</v>
      </c>
      <c r="J40" s="244"/>
    </row>
    <row r="41" spans="6:10">
      <c r="F41" s="30"/>
      <c r="G41" s="226" t="s">
        <v>64</v>
      </c>
      <c r="H41" s="226">
        <v>-25</v>
      </c>
      <c r="I41" s="230" t="s">
        <v>87</v>
      </c>
      <c r="J41" s="244"/>
    </row>
    <row r="42" spans="6:10">
      <c r="F42" s="30"/>
      <c r="G42" s="244" t="s">
        <v>189</v>
      </c>
      <c r="H42" s="229">
        <v>-50</v>
      </c>
      <c r="I42" s="230" t="s">
        <v>87</v>
      </c>
      <c r="J42" s="244"/>
    </row>
    <row r="43" spans="6:10">
      <c r="F43" s="30"/>
      <c r="G43" s="244" t="s">
        <v>601</v>
      </c>
      <c r="H43" s="229">
        <v>-25</v>
      </c>
      <c r="I43" s="230" t="s">
        <v>87</v>
      </c>
      <c r="J43" s="244"/>
    </row>
    <row r="44" spans="6:10">
      <c r="F44" s="30"/>
      <c r="G44" s="244"/>
      <c r="H44" s="229"/>
      <c r="I44" s="230" t="s">
        <v>8</v>
      </c>
      <c r="J44" s="244"/>
    </row>
    <row r="45" spans="6:10">
      <c r="F45" s="30"/>
      <c r="G45" s="244"/>
      <c r="H45" s="229"/>
      <c r="I45" s="230" t="s">
        <v>8</v>
      </c>
      <c r="J45" s="244"/>
    </row>
    <row r="46" spans="6:10">
      <c r="F46" s="30"/>
      <c r="G46" s="244"/>
      <c r="H46" s="229"/>
      <c r="I46" s="230" t="s">
        <v>8</v>
      </c>
      <c r="J46" s="244"/>
    </row>
    <row r="47" spans="6:10">
      <c r="G47" s="244"/>
      <c r="H47" s="229"/>
      <c r="I47" s="230" t="s">
        <v>8</v>
      </c>
      <c r="J47" s="244"/>
    </row>
  </sheetData>
  <conditionalFormatting sqref="G2:H11 G12 G13:H31 G33:H34">
    <cfRule type="expression" dxfId="234" priority="2">
      <formula>#REF!</formula>
    </cfRule>
  </conditionalFormatting>
  <conditionalFormatting sqref="H35:H40 H42:H47">
    <cfRule type="expression" dxfId="233" priority="1">
      <formula>#REF!</formula>
    </cfRule>
  </conditionalFormatting>
  <conditionalFormatting sqref="I2:I47">
    <cfRule type="containsText" dxfId="232" priority="4" operator="containsText" text="No">
      <formula>NOT(ISERROR(SEARCH("No",I2)))</formula>
    </cfRule>
    <cfRule type="containsText" dxfId="231" priority="5" operator="containsText" text="yes">
      <formula>NOT(ISERROR(SEARCH("yes",I2)))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30" priority="10">
      <formula>#REF!</formula>
    </cfRule>
  </conditionalFormatting>
  <conditionalFormatting sqref="I38:I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29" priority="7">
      <formula>#REF!</formula>
    </cfRule>
  </conditionalFormatting>
  <conditionalFormatting sqref="J2:J31">
    <cfRule type="expression" dxfId="228" priority="8">
      <formula>#REF!</formula>
    </cfRule>
  </conditionalFormatting>
  <conditionalFormatting sqref="J2:J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{5BD1B2E9-2018-45BE-B15F-934A6CEB9997}</x14:id>
        </ext>
      </extLst>
    </cfRule>
  </conditionalFormatting>
  <conditionalFormatting sqref="J38:J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{41372E9A-A6D6-42B6-8017-4B8334427E15}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D1B2E9-2018-45BE-B15F-934A6CEB9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41372E9A-A6D6-42B6-8017-4B8334427E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1671-3659-4696-B106-70B8AE1016FF}">
  <dimension ref="A1:K47"/>
  <sheetViews>
    <sheetView topLeftCell="A22" zoomScale="145" zoomScaleNormal="145" workbookViewId="0">
      <selection activeCell="I19" sqref="I19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2.58203125" style="226" customWidth="1"/>
    <col min="12" max="253" width="8.58203125" style="226" customWidth="1"/>
    <col min="254" max="16384" width="8.58203125" style="226"/>
  </cols>
  <sheetData>
    <row r="1" spans="1:10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</row>
    <row r="2" spans="1:10">
      <c r="A2" s="213" t="s">
        <v>6</v>
      </c>
      <c r="B2" s="249">
        <v>5155.7299999999996</v>
      </c>
      <c r="C2" s="226"/>
      <c r="D2" s="6" t="s">
        <v>520</v>
      </c>
      <c r="E2" s="5">
        <v>75</v>
      </c>
      <c r="G2" s="228" t="s">
        <v>7</v>
      </c>
      <c r="H2" s="229">
        <v>-1268.67</v>
      </c>
      <c r="I2" s="230" t="s">
        <v>87</v>
      </c>
      <c r="J2" s="229"/>
    </row>
    <row r="3" spans="1:10">
      <c r="A3" s="214" t="s">
        <v>9</v>
      </c>
      <c r="B3" s="192">
        <f>SUMIF(I2:I47,"Yes*",H2:H47)</f>
        <v>-5218.1499999999996</v>
      </c>
      <c r="C3" s="226"/>
      <c r="D3" s="24"/>
      <c r="E3" s="25"/>
      <c r="G3" s="228" t="s">
        <v>557</v>
      </c>
      <c r="H3" s="229">
        <v>-270</v>
      </c>
      <c r="I3" s="230" t="s">
        <v>87</v>
      </c>
      <c r="J3" s="229" t="s">
        <v>514</v>
      </c>
    </row>
    <row r="4" spans="1:10" outlineLevel="1">
      <c r="A4" s="213" t="s">
        <v>12</v>
      </c>
      <c r="B4" s="249">
        <v>27.57</v>
      </c>
      <c r="C4" s="226"/>
      <c r="D4" s="24" t="s">
        <v>522</v>
      </c>
      <c r="E4" s="25">
        <v>50</v>
      </c>
      <c r="F4" s="231"/>
      <c r="G4" s="228" t="s">
        <v>14</v>
      </c>
      <c r="H4" s="229">
        <v>-37</v>
      </c>
      <c r="I4" s="230" t="s">
        <v>87</v>
      </c>
      <c r="J4" s="229"/>
    </row>
    <row r="5" spans="1:10" ht="15" thickBot="1">
      <c r="A5" s="215" t="s">
        <v>15</v>
      </c>
      <c r="B5" s="200">
        <f>SUMIF(I2:I47,"No",H2:H47)</f>
        <v>0</v>
      </c>
      <c r="C5" s="226"/>
      <c r="D5" s="24" t="s">
        <v>526</v>
      </c>
      <c r="E5" s="25">
        <v>550</v>
      </c>
      <c r="G5" s="228" t="s">
        <v>17</v>
      </c>
      <c r="H5" s="229">
        <v>-39</v>
      </c>
      <c r="I5" s="230" t="s">
        <v>87</v>
      </c>
      <c r="J5" s="229"/>
    </row>
    <row r="6" spans="1:10" ht="15" thickBot="1">
      <c r="A6" s="216" t="s">
        <v>18</v>
      </c>
      <c r="B6" s="29">
        <f>B5+B4</f>
        <v>27.57</v>
      </c>
      <c r="C6" s="226" t="s">
        <v>19</v>
      </c>
      <c r="D6" s="24"/>
      <c r="E6" s="25"/>
      <c r="G6" s="228" t="s">
        <v>21</v>
      </c>
      <c r="H6" s="229">
        <v>-15</v>
      </c>
      <c r="I6" s="230" t="s">
        <v>87</v>
      </c>
      <c r="J6" s="229"/>
    </row>
    <row r="7" spans="1:10">
      <c r="A7" s="217" t="s">
        <v>504</v>
      </c>
      <c r="B7" s="201">
        <f>SUMIF(J2:J47,"f1",H2:H47)</f>
        <v>-2383</v>
      </c>
      <c r="C7" s="30"/>
      <c r="D7" s="24" t="s">
        <v>621</v>
      </c>
      <c r="E7" s="25"/>
      <c r="G7" s="228" t="s">
        <v>24</v>
      </c>
      <c r="H7" s="229">
        <v>-155</v>
      </c>
      <c r="I7" s="230" t="s">
        <v>87</v>
      </c>
      <c r="J7" s="229"/>
    </row>
    <row r="8" spans="1:10">
      <c r="A8" s="218" t="s">
        <v>505</v>
      </c>
      <c r="B8" s="194">
        <f>SUMIF(J2:J47,"f2",H2:H47)</f>
        <v>-81</v>
      </c>
      <c r="C8" s="30"/>
      <c r="D8" s="24" t="s">
        <v>622</v>
      </c>
      <c r="E8" s="25"/>
      <c r="G8" s="228" t="s">
        <v>25</v>
      </c>
      <c r="H8" s="229">
        <v>-50</v>
      </c>
      <c r="I8" s="230" t="s">
        <v>87</v>
      </c>
      <c r="J8" s="229" t="s">
        <v>514</v>
      </c>
    </row>
    <row r="9" spans="1:10">
      <c r="A9" s="218" t="s">
        <v>147</v>
      </c>
      <c r="B9" s="194">
        <f>SUMIF(J2:J47,"",H2:H47)</f>
        <v>-2434.15</v>
      </c>
      <c r="C9" s="226"/>
      <c r="D9" s="24"/>
      <c r="E9" s="25"/>
      <c r="G9" s="228" t="s">
        <v>27</v>
      </c>
      <c r="H9" s="229">
        <v>-20</v>
      </c>
      <c r="I9" s="230" t="s">
        <v>87</v>
      </c>
      <c r="J9" s="229"/>
    </row>
    <row r="10" spans="1:10" ht="15" thickBot="1">
      <c r="A10" s="218" t="s">
        <v>202</v>
      </c>
      <c r="B10" s="194">
        <f>SUMIF(J2:J47,"s",H2:H47)</f>
        <v>-320</v>
      </c>
      <c r="C10" s="226"/>
      <c r="D10" s="24" t="s">
        <v>618</v>
      </c>
      <c r="E10" s="25"/>
      <c r="G10" s="228" t="s">
        <v>575</v>
      </c>
      <c r="H10" s="229">
        <v>-25</v>
      </c>
      <c r="I10" s="230" t="s">
        <v>87</v>
      </c>
      <c r="J10" s="229"/>
    </row>
    <row r="11" spans="1:10" ht="15" thickBot="1">
      <c r="A11" s="232"/>
      <c r="C11" s="226"/>
      <c r="D11" s="26" t="s">
        <v>28</v>
      </c>
      <c r="E11" s="27">
        <f>SUM(E2:E10)</f>
        <v>675</v>
      </c>
      <c r="G11" s="228"/>
      <c r="H11" s="229"/>
      <c r="I11" s="230" t="s">
        <v>8</v>
      </c>
      <c r="J11" s="229"/>
    </row>
    <row r="12" spans="1:10" ht="15" thickBot="1">
      <c r="A12" s="233"/>
      <c r="B12" s="234"/>
      <c r="C12" s="226"/>
      <c r="D12" s="26"/>
      <c r="E12" s="27"/>
      <c r="G12" s="228" t="s">
        <v>128</v>
      </c>
      <c r="H12" s="235">
        <v>-8.99</v>
      </c>
      <c r="I12" s="230" t="s">
        <v>87</v>
      </c>
      <c r="J12" s="229"/>
    </row>
    <row r="13" spans="1:10" ht="15" thickBot="1">
      <c r="A13" s="27" t="s">
        <v>528</v>
      </c>
      <c r="B13" s="27">
        <v>10000</v>
      </c>
      <c r="C13" s="226"/>
      <c r="D13" s="26" t="s">
        <v>543</v>
      </c>
      <c r="E13" s="27">
        <v>4324</v>
      </c>
      <c r="G13" s="228" t="s">
        <v>33</v>
      </c>
      <c r="H13" s="229">
        <v>-239</v>
      </c>
      <c r="I13" s="230" t="s">
        <v>87</v>
      </c>
      <c r="J13" s="229"/>
    </row>
    <row r="14" spans="1:10" ht="15" thickBot="1">
      <c r="A14" s="27" t="s">
        <v>501</v>
      </c>
      <c r="B14" s="27">
        <v>4324</v>
      </c>
      <c r="C14" s="226"/>
      <c r="D14" s="26" t="s">
        <v>580</v>
      </c>
      <c r="E14" s="27"/>
      <c r="G14" s="228" t="s">
        <v>34</v>
      </c>
      <c r="H14" s="229">
        <v>-13</v>
      </c>
      <c r="I14" s="230" t="s">
        <v>87</v>
      </c>
      <c r="J14" s="229"/>
    </row>
    <row r="15" spans="1:10" ht="15" thickBot="1">
      <c r="A15" s="27" t="s">
        <v>529</v>
      </c>
      <c r="B15" s="27"/>
      <c r="C15" s="226"/>
      <c r="D15" s="26"/>
      <c r="E15" s="27"/>
      <c r="G15" s="228" t="s">
        <v>470</v>
      </c>
      <c r="H15" s="229">
        <v>-10</v>
      </c>
      <c r="I15" s="230" t="s">
        <v>87</v>
      </c>
      <c r="J15" s="229"/>
    </row>
    <row r="16" spans="1:10" ht="15" thickBot="1">
      <c r="A16" s="27" t="s">
        <v>530</v>
      </c>
      <c r="B16" s="246">
        <f>B14/B13</f>
        <v>0.43240000000000001</v>
      </c>
      <c r="C16" s="226"/>
      <c r="D16" s="26"/>
      <c r="E16" s="27"/>
      <c r="G16" s="228" t="s">
        <v>34</v>
      </c>
      <c r="H16" s="229">
        <v>-53.3</v>
      </c>
      <c r="I16" s="230" t="s">
        <v>87</v>
      </c>
      <c r="J16" s="229"/>
    </row>
    <row r="17" spans="1:11">
      <c r="A17" s="211"/>
      <c r="B17" s="236"/>
      <c r="C17" s="226"/>
      <c r="G17" s="228" t="s">
        <v>39</v>
      </c>
      <c r="H17" s="229">
        <v>-1.5</v>
      </c>
      <c r="I17" s="230" t="s">
        <v>87</v>
      </c>
      <c r="J17" s="229"/>
    </row>
    <row r="18" spans="1:11">
      <c r="A18" s="237" t="s">
        <v>7</v>
      </c>
      <c r="C18" s="226"/>
      <c r="D18" s="226" t="s">
        <v>116</v>
      </c>
      <c r="G18" s="228" t="s">
        <v>479</v>
      </c>
      <c r="H18" s="229">
        <v>-5</v>
      </c>
      <c r="I18" s="230" t="s">
        <v>87</v>
      </c>
      <c r="J18" s="229"/>
    </row>
    <row r="19" spans="1:11">
      <c r="A19" s="219" t="s">
        <v>35</v>
      </c>
      <c r="B19" s="202">
        <v>153458.32</v>
      </c>
      <c r="C19" s="226"/>
      <c r="G19" s="228" t="s">
        <v>68</v>
      </c>
      <c r="H19" s="229">
        <v>-1000</v>
      </c>
      <c r="I19" s="230" t="s">
        <v>87</v>
      </c>
      <c r="J19" s="229" t="s">
        <v>502</v>
      </c>
    </row>
    <row r="20" spans="1:11" ht="15" thickBot="1">
      <c r="A20" s="220" t="s">
        <v>37</v>
      </c>
      <c r="B20" s="203">
        <v>81199.44</v>
      </c>
      <c r="C20" s="226"/>
      <c r="G20" s="228" t="s">
        <v>70</v>
      </c>
      <c r="H20" s="229">
        <v>-28</v>
      </c>
      <c r="I20" s="230" t="s">
        <v>87</v>
      </c>
      <c r="J20" s="229" t="s">
        <v>503</v>
      </c>
    </row>
    <row r="21" spans="1:11" ht="15" thickBot="1">
      <c r="A21" s="221" t="s">
        <v>38</v>
      </c>
      <c r="B21" s="204">
        <f>SUM(B19:B20)</f>
        <v>234657.76</v>
      </c>
      <c r="C21" s="226"/>
      <c r="G21" s="228" t="s">
        <v>404</v>
      </c>
      <c r="H21" s="229">
        <v>-14.99</v>
      </c>
      <c r="I21" s="230" t="s">
        <v>87</v>
      </c>
      <c r="J21" s="229"/>
    </row>
    <row r="22" spans="1:11" ht="15" thickBot="1">
      <c r="A22" s="222" t="s">
        <v>40</v>
      </c>
      <c r="B22" s="205">
        <f>B23*0.2</f>
        <v>90000</v>
      </c>
      <c r="C22" s="226"/>
      <c r="D22" s="226" t="s">
        <v>73</v>
      </c>
      <c r="G22" s="228" t="s">
        <v>49</v>
      </c>
      <c r="H22" s="229">
        <v>-1150</v>
      </c>
      <c r="I22" s="230" t="s">
        <v>87</v>
      </c>
      <c r="J22" s="229" t="s">
        <v>502</v>
      </c>
    </row>
    <row r="23" spans="1:11">
      <c r="A23" s="238" t="s">
        <v>43</v>
      </c>
      <c r="B23" s="248">
        <v>450000</v>
      </c>
      <c r="C23" s="226"/>
      <c r="G23" s="228" t="s">
        <v>74</v>
      </c>
      <c r="H23" s="229">
        <v>-11</v>
      </c>
      <c r="I23" s="230" t="s">
        <v>87</v>
      </c>
      <c r="J23" s="229"/>
    </row>
    <row r="24" spans="1:11">
      <c r="A24" s="240" t="s">
        <v>46</v>
      </c>
      <c r="B24" s="247">
        <f>B23-SUM(B21:B22)</f>
        <v>125342.23999999999</v>
      </c>
      <c r="G24" s="228" t="s">
        <v>52</v>
      </c>
      <c r="H24" s="229">
        <v>-14</v>
      </c>
      <c r="I24" s="230" t="s">
        <v>87</v>
      </c>
      <c r="J24" s="229"/>
    </row>
    <row r="25" spans="1:11">
      <c r="G25" s="228" t="s">
        <v>62</v>
      </c>
      <c r="H25" s="229">
        <v>-20</v>
      </c>
      <c r="I25" s="230" t="s">
        <v>87</v>
      </c>
      <c r="J25" s="229"/>
    </row>
    <row r="26" spans="1:11">
      <c r="G26" s="228" t="s">
        <v>55</v>
      </c>
      <c r="H26" s="229">
        <v>-27.7</v>
      </c>
      <c r="I26" s="230" t="s">
        <v>87</v>
      </c>
      <c r="J26" s="229"/>
    </row>
    <row r="27" spans="1:11">
      <c r="G27" s="228" t="s">
        <v>56</v>
      </c>
      <c r="H27" s="229">
        <v>-60</v>
      </c>
      <c r="I27" s="230" t="s">
        <v>87</v>
      </c>
      <c r="J27" s="229" t="s">
        <v>502</v>
      </c>
    </row>
    <row r="28" spans="1:11">
      <c r="G28" s="228" t="s">
        <v>78</v>
      </c>
      <c r="H28" s="229">
        <v>-18</v>
      </c>
      <c r="I28" s="230" t="s">
        <v>87</v>
      </c>
      <c r="J28" s="229"/>
      <c r="K28" s="242"/>
    </row>
    <row r="29" spans="1:11">
      <c r="G29" s="228" t="s">
        <v>57</v>
      </c>
      <c r="H29" s="229">
        <v>-33</v>
      </c>
      <c r="I29" s="230" t="s">
        <v>87</v>
      </c>
      <c r="J29" s="229" t="s">
        <v>503</v>
      </c>
    </row>
    <row r="30" spans="1:11">
      <c r="A30" s="31" t="s">
        <v>509</v>
      </c>
      <c r="G30" s="228" t="s">
        <v>79</v>
      </c>
      <c r="H30" s="229">
        <v>-12</v>
      </c>
      <c r="I30" s="230" t="s">
        <v>87</v>
      </c>
      <c r="J30" s="229"/>
    </row>
    <row r="31" spans="1:11" ht="15.5">
      <c r="A31" s="243">
        <v>1104841580</v>
      </c>
      <c r="F31" s="30"/>
      <c r="G31" s="228" t="s">
        <v>80</v>
      </c>
      <c r="H31" s="229">
        <v>-35</v>
      </c>
      <c r="I31" s="230" t="s">
        <v>87</v>
      </c>
      <c r="J31" s="229" t="s">
        <v>502</v>
      </c>
    </row>
    <row r="32" spans="1:11">
      <c r="F32" s="30"/>
      <c r="G32" s="228" t="s">
        <v>144</v>
      </c>
      <c r="H32" s="229">
        <v>-100</v>
      </c>
      <c r="I32" s="230" t="s">
        <v>87</v>
      </c>
      <c r="J32" s="229"/>
    </row>
    <row r="33" spans="6:10">
      <c r="F33" s="30"/>
      <c r="G33" s="228" t="s">
        <v>573</v>
      </c>
      <c r="H33" s="229">
        <v>-20</v>
      </c>
      <c r="I33" s="230" t="s">
        <v>87</v>
      </c>
      <c r="J33" s="244"/>
    </row>
    <row r="34" spans="6:10">
      <c r="F34" s="30"/>
      <c r="G34" s="228" t="s">
        <v>84</v>
      </c>
      <c r="H34" s="229">
        <v>-142</v>
      </c>
      <c r="I34" s="230" t="s">
        <v>87</v>
      </c>
      <c r="J34" s="244"/>
    </row>
    <row r="35" spans="6:10">
      <c r="F35" s="30"/>
      <c r="G35" s="244" t="s">
        <v>574</v>
      </c>
      <c r="H35" s="229">
        <v>-20</v>
      </c>
      <c r="I35" s="230" t="s">
        <v>87</v>
      </c>
      <c r="J35" s="244" t="s">
        <v>503</v>
      </c>
    </row>
    <row r="36" spans="6:10">
      <c r="F36" s="30"/>
      <c r="G36" s="244" t="s">
        <v>552</v>
      </c>
      <c r="H36" s="229">
        <v>-138</v>
      </c>
      <c r="I36" s="230" t="s">
        <v>87</v>
      </c>
      <c r="J36" s="244" t="s">
        <v>502</v>
      </c>
    </row>
    <row r="37" spans="6:10">
      <c r="F37" s="30"/>
      <c r="G37" s="244" t="s">
        <v>604</v>
      </c>
      <c r="H37" s="229">
        <v>-11</v>
      </c>
      <c r="I37" s="230" t="s">
        <v>87</v>
      </c>
      <c r="J37" s="244"/>
    </row>
    <row r="38" spans="6:10">
      <c r="F38" s="30"/>
      <c r="G38" s="244" t="s">
        <v>609</v>
      </c>
      <c r="H38" s="229">
        <v>-8</v>
      </c>
      <c r="I38" s="230" t="s">
        <v>87</v>
      </c>
      <c r="J38" s="244"/>
    </row>
    <row r="39" spans="6:10">
      <c r="F39" s="30"/>
      <c r="G39" s="244" t="s">
        <v>494</v>
      </c>
      <c r="H39" s="229">
        <v>-5</v>
      </c>
      <c r="I39" s="230" t="s">
        <v>87</v>
      </c>
      <c r="J39" s="244"/>
    </row>
    <row r="40" spans="6:10">
      <c r="F40" s="30"/>
      <c r="G40" s="244" t="s">
        <v>68</v>
      </c>
      <c r="H40" s="229">
        <v>-140</v>
      </c>
      <c r="I40" s="230" t="s">
        <v>87</v>
      </c>
      <c r="J40" s="244"/>
    </row>
    <row r="41" spans="6:10">
      <c r="F41" s="30"/>
      <c r="I41" s="230" t="s">
        <v>8</v>
      </c>
      <c r="J41" s="244"/>
    </row>
    <row r="42" spans="6:10">
      <c r="F42" s="30"/>
      <c r="G42" s="244"/>
      <c r="H42" s="229"/>
      <c r="I42" s="230" t="s">
        <v>8</v>
      </c>
      <c r="J42" s="244" t="s">
        <v>502</v>
      </c>
    </row>
    <row r="43" spans="6:10">
      <c r="F43" s="30"/>
      <c r="G43" s="244"/>
      <c r="H43" s="229"/>
      <c r="I43" s="230" t="s">
        <v>8</v>
      </c>
      <c r="J43" s="244" t="s">
        <v>502</v>
      </c>
    </row>
    <row r="44" spans="6:10">
      <c r="F44" s="30"/>
      <c r="G44" s="244"/>
      <c r="H44" s="229"/>
      <c r="I44" s="230" t="s">
        <v>8</v>
      </c>
      <c r="J44" s="244"/>
    </row>
    <row r="45" spans="6:10">
      <c r="F45" s="30"/>
      <c r="G45" s="244"/>
      <c r="H45" s="229"/>
      <c r="I45" s="230" t="s">
        <v>8</v>
      </c>
      <c r="J45" s="244"/>
    </row>
    <row r="46" spans="6:10">
      <c r="F46" s="30"/>
      <c r="G46" s="244"/>
      <c r="H46" s="229"/>
      <c r="I46" s="230" t="s">
        <v>8</v>
      </c>
      <c r="J46" s="244"/>
    </row>
    <row r="47" spans="6:10">
      <c r="G47" s="244"/>
      <c r="H47" s="229"/>
      <c r="I47" s="230" t="s">
        <v>8</v>
      </c>
      <c r="J47" s="244"/>
    </row>
  </sheetData>
  <conditionalFormatting sqref="G2:H11 G12 G13:H31 G33:H34">
    <cfRule type="expression" dxfId="227" priority="2">
      <formula>#REF!</formula>
    </cfRule>
  </conditionalFormatting>
  <conditionalFormatting sqref="H35:H40 H42:H47">
    <cfRule type="expression" dxfId="226" priority="1">
      <formula>#REF!</formula>
    </cfRule>
  </conditionalFormatting>
  <conditionalFormatting sqref="I2:I47">
    <cfRule type="containsText" dxfId="225" priority="4" operator="containsText" text="No">
      <formula>NOT(ISERROR(SEARCH("No",I2)))</formula>
    </cfRule>
    <cfRule type="containsText" dxfId="224" priority="5" operator="containsText" text="yes">
      <formula>NOT(ISERROR(SEARCH("yes",I2)))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23" priority="10">
      <formula>#REF!</formula>
    </cfRule>
  </conditionalFormatting>
  <conditionalFormatting sqref="I38:I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22" priority="7">
      <formula>#REF!</formula>
    </cfRule>
  </conditionalFormatting>
  <conditionalFormatting sqref="J2:J31">
    <cfRule type="expression" dxfId="221" priority="8">
      <formula>#REF!</formula>
    </cfRule>
  </conditionalFormatting>
  <conditionalFormatting sqref="J2:J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{AC753BE6-DC71-4E1D-AD93-E4A504294F44}</x14:id>
        </ext>
      </extLst>
    </cfRule>
  </conditionalFormatting>
  <conditionalFormatting sqref="J38:J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{DBF6E741-A80B-48A7-97B0-570A549A3C43}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753BE6-DC71-4E1D-AD93-E4A504294F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DBF6E741-A80B-48A7-97B0-570A549A3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445F-AA98-4BAA-988E-6501D93264A6}">
  <dimension ref="A1:K47"/>
  <sheetViews>
    <sheetView topLeftCell="A13" zoomScale="130" zoomScaleNormal="130" workbookViewId="0">
      <selection activeCell="E2" sqref="E2:E10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2.58203125" style="226" customWidth="1"/>
    <col min="12" max="253" width="8.58203125" style="226" customWidth="1"/>
    <col min="254" max="16384" width="8.58203125" style="226"/>
  </cols>
  <sheetData>
    <row r="1" spans="1:10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</row>
    <row r="2" spans="1:10">
      <c r="A2" s="213" t="s">
        <v>6</v>
      </c>
      <c r="B2" s="249">
        <v>5140.92</v>
      </c>
      <c r="C2" s="226"/>
      <c r="D2" s="6" t="s">
        <v>520</v>
      </c>
      <c r="E2" s="5">
        <v>100</v>
      </c>
      <c r="G2" s="228" t="s">
        <v>7</v>
      </c>
      <c r="H2" s="229">
        <v>-1268.67</v>
      </c>
      <c r="I2" s="230" t="s">
        <v>87</v>
      </c>
      <c r="J2" s="229"/>
    </row>
    <row r="3" spans="1:10">
      <c r="A3" s="214" t="s">
        <v>9</v>
      </c>
      <c r="B3" s="192">
        <f>SUMIF(I2:I47,"Yes*",H2:H47)</f>
        <v>-5590.16</v>
      </c>
      <c r="C3" s="226"/>
      <c r="D3" s="24" t="s">
        <v>597</v>
      </c>
      <c r="E3" s="25"/>
      <c r="G3" s="228" t="s">
        <v>557</v>
      </c>
      <c r="H3" s="229">
        <v>-320</v>
      </c>
      <c r="I3" s="230" t="s">
        <v>87</v>
      </c>
      <c r="J3" s="229" t="s">
        <v>514</v>
      </c>
    </row>
    <row r="4" spans="1:10" outlineLevel="1">
      <c r="A4" s="213" t="s">
        <v>12</v>
      </c>
      <c r="B4" s="249">
        <v>48.01</v>
      </c>
      <c r="C4" s="226"/>
      <c r="D4" s="24" t="s">
        <v>522</v>
      </c>
      <c r="E4" s="25">
        <v>80</v>
      </c>
      <c r="F4" s="231"/>
      <c r="G4" s="228" t="s">
        <v>14</v>
      </c>
      <c r="H4" s="229">
        <v>-37</v>
      </c>
      <c r="I4" s="230" t="s">
        <v>87</v>
      </c>
      <c r="J4" s="229"/>
    </row>
    <row r="5" spans="1:10" ht="15" thickBot="1">
      <c r="A5" s="215" t="s">
        <v>15</v>
      </c>
      <c r="B5" s="200">
        <f>SUMIF(I2:I47,"No",H2:H47)</f>
        <v>-19</v>
      </c>
      <c r="C5" s="226"/>
      <c r="D5" s="24" t="s">
        <v>526</v>
      </c>
      <c r="E5" s="25">
        <v>500</v>
      </c>
      <c r="G5" s="228" t="s">
        <v>17</v>
      </c>
      <c r="H5" s="229">
        <v>-39</v>
      </c>
      <c r="I5" s="230" t="s">
        <v>87</v>
      </c>
      <c r="J5" s="229"/>
    </row>
    <row r="6" spans="1:10" ht="15" thickBot="1">
      <c r="A6" s="216" t="s">
        <v>18</v>
      </c>
      <c r="B6" s="29">
        <f>B5+B4</f>
        <v>29.009999999999998</v>
      </c>
      <c r="C6" s="226" t="s">
        <v>19</v>
      </c>
      <c r="D6" s="24" t="s">
        <v>144</v>
      </c>
      <c r="E6" s="25"/>
      <c r="G6" s="228" t="s">
        <v>21</v>
      </c>
      <c r="H6" s="229">
        <v>-15</v>
      </c>
      <c r="I6" s="230" t="s">
        <v>87</v>
      </c>
      <c r="J6" s="229"/>
    </row>
    <row r="7" spans="1:10">
      <c r="A7" s="217" t="s">
        <v>504</v>
      </c>
      <c r="B7" s="201">
        <f>SUMIF(J2:J47,"f1",H2:H47)</f>
        <v>-1920</v>
      </c>
      <c r="C7" s="30"/>
      <c r="D7" s="24" t="s">
        <v>620</v>
      </c>
      <c r="E7" s="25">
        <v>150</v>
      </c>
      <c r="G7" s="228" t="s">
        <v>24</v>
      </c>
      <c r="H7" s="229">
        <v>-155</v>
      </c>
      <c r="I7" s="230" t="s">
        <v>87</v>
      </c>
      <c r="J7" s="229"/>
    </row>
    <row r="8" spans="1:10">
      <c r="A8" s="218" t="s">
        <v>505</v>
      </c>
      <c r="B8" s="194">
        <f>SUMIF(J2:J47,"f2",H2:H47)</f>
        <v>-226</v>
      </c>
      <c r="C8" s="30"/>
      <c r="D8" s="24" t="s">
        <v>619</v>
      </c>
      <c r="E8" s="25"/>
      <c r="G8" s="228" t="s">
        <v>25</v>
      </c>
      <c r="H8" s="229">
        <v>-50</v>
      </c>
      <c r="I8" s="230" t="s">
        <v>87</v>
      </c>
      <c r="J8" s="229" t="s">
        <v>514</v>
      </c>
    </row>
    <row r="9" spans="1:10">
      <c r="A9" s="218" t="s">
        <v>147</v>
      </c>
      <c r="B9" s="194">
        <f>SUMIF(J2:J47,"",H2:H47)</f>
        <v>-3018.16</v>
      </c>
      <c r="C9" s="226"/>
      <c r="D9" s="24" t="s">
        <v>615</v>
      </c>
      <c r="E9" s="25"/>
      <c r="G9" s="228" t="s">
        <v>27</v>
      </c>
      <c r="H9" s="229">
        <v>-20</v>
      </c>
      <c r="I9" s="230" t="s">
        <v>87</v>
      </c>
      <c r="J9" s="229"/>
    </row>
    <row r="10" spans="1:10" ht="15" thickBot="1">
      <c r="A10" s="218" t="s">
        <v>202</v>
      </c>
      <c r="B10" s="194">
        <f>SUMIF(J2:J47,"s",H2:H47)</f>
        <v>-445</v>
      </c>
      <c r="C10" s="226"/>
      <c r="D10" s="24" t="s">
        <v>618</v>
      </c>
      <c r="E10" s="25">
        <v>162</v>
      </c>
      <c r="G10" s="228" t="s">
        <v>575</v>
      </c>
      <c r="H10" s="229">
        <v>-55</v>
      </c>
      <c r="I10" s="230" t="s">
        <v>87</v>
      </c>
      <c r="J10" s="229" t="s">
        <v>514</v>
      </c>
    </row>
    <row r="11" spans="1:10" ht="15" thickBot="1">
      <c r="A11" s="232"/>
      <c r="C11" s="226"/>
      <c r="D11" s="26" t="s">
        <v>28</v>
      </c>
      <c r="E11" s="27">
        <f>SUM(E2:E10)</f>
        <v>992</v>
      </c>
      <c r="G11" s="228" t="s">
        <v>616</v>
      </c>
      <c r="H11" s="229">
        <v>-135</v>
      </c>
      <c r="I11" s="230" t="s">
        <v>87</v>
      </c>
      <c r="J11" s="229"/>
    </row>
    <row r="12" spans="1:10" ht="15" thickBot="1">
      <c r="A12" s="233"/>
      <c r="B12" s="234"/>
      <c r="C12" s="226"/>
      <c r="D12" s="26"/>
      <c r="E12" s="27"/>
      <c r="G12" s="228" t="s">
        <v>128</v>
      </c>
      <c r="H12" s="235">
        <v>-8.99</v>
      </c>
      <c r="I12" s="230" t="s">
        <v>87</v>
      </c>
      <c r="J12" s="229"/>
    </row>
    <row r="13" spans="1:10" ht="15" thickBot="1">
      <c r="A13" s="27" t="s">
        <v>528</v>
      </c>
      <c r="B13" s="27">
        <v>10000</v>
      </c>
      <c r="C13" s="226"/>
      <c r="D13" s="26" t="s">
        <v>543</v>
      </c>
      <c r="E13" s="27">
        <v>3917.77</v>
      </c>
      <c r="G13" s="228" t="s">
        <v>33</v>
      </c>
      <c r="H13" s="229">
        <v>-239</v>
      </c>
      <c r="I13" s="230" t="s">
        <v>87</v>
      </c>
      <c r="J13" s="229"/>
    </row>
    <row r="14" spans="1:10" ht="15" thickBot="1">
      <c r="A14" s="27" t="s">
        <v>501</v>
      </c>
      <c r="B14" s="27">
        <v>3917.77</v>
      </c>
      <c r="C14" s="226"/>
      <c r="D14" s="26" t="s">
        <v>580</v>
      </c>
      <c r="E14" s="27"/>
      <c r="G14" s="228" t="s">
        <v>34</v>
      </c>
      <c r="H14" s="229">
        <v>-13</v>
      </c>
      <c r="I14" s="230" t="s">
        <v>87</v>
      </c>
      <c r="J14" s="229"/>
    </row>
    <row r="15" spans="1:10" ht="15" thickBot="1">
      <c r="A15" s="27" t="s">
        <v>529</v>
      </c>
      <c r="B15" s="27"/>
      <c r="C15" s="226"/>
      <c r="D15" s="26"/>
      <c r="E15" s="27"/>
      <c r="G15" s="228" t="s">
        <v>470</v>
      </c>
      <c r="H15" s="229">
        <v>-10</v>
      </c>
      <c r="I15" s="230" t="s">
        <v>87</v>
      </c>
      <c r="J15" s="229"/>
    </row>
    <row r="16" spans="1:10" ht="15" thickBot="1">
      <c r="A16" s="27" t="s">
        <v>530</v>
      </c>
      <c r="B16" s="246">
        <f>B14/B13</f>
        <v>0.39177699999999999</v>
      </c>
      <c r="C16" s="226"/>
      <c r="D16" s="26" t="s">
        <v>579</v>
      </c>
      <c r="E16" s="27">
        <v>800</v>
      </c>
      <c r="G16" s="228" t="s">
        <v>34</v>
      </c>
      <c r="H16" s="229">
        <v>-31.5</v>
      </c>
      <c r="I16" s="230" t="s">
        <v>87</v>
      </c>
      <c r="J16" s="229"/>
    </row>
    <row r="17" spans="1:11">
      <c r="A17" s="211"/>
      <c r="B17" s="236"/>
      <c r="C17" s="226"/>
      <c r="G17" s="228" t="s">
        <v>39</v>
      </c>
      <c r="H17" s="229">
        <v>-1.5</v>
      </c>
      <c r="I17" s="230" t="s">
        <v>87</v>
      </c>
      <c r="J17" s="229"/>
    </row>
    <row r="18" spans="1:11">
      <c r="A18" s="237" t="s">
        <v>7</v>
      </c>
      <c r="C18" s="226"/>
      <c r="D18" s="226" t="s">
        <v>116</v>
      </c>
      <c r="G18" s="228" t="s">
        <v>479</v>
      </c>
      <c r="H18" s="229">
        <v>-5</v>
      </c>
      <c r="I18" s="230" t="s">
        <v>8</v>
      </c>
      <c r="J18" s="229"/>
    </row>
    <row r="19" spans="1:11">
      <c r="A19" s="219" t="s">
        <v>35</v>
      </c>
      <c r="B19" s="202">
        <v>153458.32</v>
      </c>
      <c r="C19" s="226"/>
      <c r="G19" s="228" t="s">
        <v>68</v>
      </c>
      <c r="H19" s="229">
        <v>-800</v>
      </c>
      <c r="I19" s="230" t="s">
        <v>87</v>
      </c>
      <c r="J19" s="229" t="s">
        <v>502</v>
      </c>
    </row>
    <row r="20" spans="1:11" ht="15" thickBot="1">
      <c r="A20" s="220" t="s">
        <v>37</v>
      </c>
      <c r="B20" s="203">
        <v>81199.44</v>
      </c>
      <c r="C20" s="226"/>
      <c r="G20" s="228" t="s">
        <v>70</v>
      </c>
      <c r="H20" s="229">
        <v>-28</v>
      </c>
      <c r="I20" s="230" t="s">
        <v>87</v>
      </c>
      <c r="J20" s="229" t="s">
        <v>503</v>
      </c>
    </row>
    <row r="21" spans="1:11" ht="15" thickBot="1">
      <c r="A21" s="221" t="s">
        <v>38</v>
      </c>
      <c r="B21" s="204">
        <f>SUM(B19:B20)</f>
        <v>234657.76</v>
      </c>
      <c r="C21" s="226"/>
      <c r="G21" s="228" t="s">
        <v>564</v>
      </c>
      <c r="H21" s="229">
        <v>-32.5</v>
      </c>
      <c r="I21" s="230" t="s">
        <v>87</v>
      </c>
      <c r="J21" s="229"/>
    </row>
    <row r="22" spans="1:11" ht="15" thickBot="1">
      <c r="A22" s="222" t="s">
        <v>40</v>
      </c>
      <c r="B22" s="205">
        <f>B23*0.2</f>
        <v>90000</v>
      </c>
      <c r="C22" s="226"/>
      <c r="D22" s="226" t="s">
        <v>73</v>
      </c>
      <c r="G22" s="228" t="s">
        <v>49</v>
      </c>
      <c r="H22" s="229">
        <v>-900</v>
      </c>
      <c r="I22" s="230" t="s">
        <v>87</v>
      </c>
      <c r="J22" s="229" t="s">
        <v>502</v>
      </c>
    </row>
    <row r="23" spans="1:11">
      <c r="A23" s="238" t="s">
        <v>43</v>
      </c>
      <c r="B23" s="248">
        <v>450000</v>
      </c>
      <c r="C23" s="226"/>
      <c r="G23" s="228" t="s">
        <v>74</v>
      </c>
      <c r="H23" s="229">
        <v>-11</v>
      </c>
      <c r="I23" s="230" t="s">
        <v>87</v>
      </c>
      <c r="J23" s="229"/>
    </row>
    <row r="24" spans="1:11">
      <c r="A24" s="240" t="s">
        <v>46</v>
      </c>
      <c r="B24" s="247">
        <f>B23-SUM(B21:B22)</f>
        <v>125342.23999999999</v>
      </c>
      <c r="D24" s="226" t="s">
        <v>613</v>
      </c>
      <c r="G24" s="228" t="s">
        <v>52</v>
      </c>
      <c r="H24" s="229">
        <v>-14</v>
      </c>
      <c r="I24" s="230" t="s">
        <v>8</v>
      </c>
      <c r="J24" s="229"/>
    </row>
    <row r="25" spans="1:11">
      <c r="G25" s="228" t="s">
        <v>62</v>
      </c>
      <c r="H25" s="229">
        <v>-20</v>
      </c>
      <c r="I25" s="230" t="s">
        <v>87</v>
      </c>
      <c r="J25" s="229" t="s">
        <v>514</v>
      </c>
    </row>
    <row r="26" spans="1:11">
      <c r="G26" s="228" t="s">
        <v>55</v>
      </c>
      <c r="H26" s="229">
        <v>-31</v>
      </c>
      <c r="I26" s="230" t="s">
        <v>87</v>
      </c>
      <c r="J26" s="229"/>
    </row>
    <row r="27" spans="1:11">
      <c r="G27" s="228" t="s">
        <v>56</v>
      </c>
      <c r="H27" s="229">
        <v>-80</v>
      </c>
      <c r="I27" s="230" t="s">
        <v>87</v>
      </c>
      <c r="J27" s="229" t="s">
        <v>502</v>
      </c>
    </row>
    <row r="28" spans="1:11">
      <c r="G28" s="228" t="s">
        <v>78</v>
      </c>
      <c r="H28" s="229">
        <v>-18</v>
      </c>
      <c r="I28" s="230" t="s">
        <v>87</v>
      </c>
      <c r="J28" s="229"/>
      <c r="K28" s="242"/>
    </row>
    <row r="29" spans="1:11">
      <c r="G29" s="228" t="s">
        <v>57</v>
      </c>
      <c r="H29" s="229">
        <v>-33</v>
      </c>
      <c r="I29" s="230" t="s">
        <v>87</v>
      </c>
      <c r="J29" s="229" t="s">
        <v>503</v>
      </c>
    </row>
    <row r="30" spans="1:11">
      <c r="A30" s="31" t="s">
        <v>509</v>
      </c>
      <c r="G30" s="228" t="s">
        <v>79</v>
      </c>
      <c r="H30" s="229">
        <v>-12</v>
      </c>
      <c r="I30" s="230" t="s">
        <v>87</v>
      </c>
      <c r="J30" s="229"/>
    </row>
    <row r="31" spans="1:11" ht="15.5">
      <c r="A31" s="243">
        <v>1104841580</v>
      </c>
      <c r="F31" s="30"/>
      <c r="G31" s="228" t="s">
        <v>617</v>
      </c>
      <c r="H31" s="229">
        <v>-165</v>
      </c>
      <c r="I31" s="230" t="s">
        <v>87</v>
      </c>
      <c r="J31" s="229" t="s">
        <v>503</v>
      </c>
    </row>
    <row r="32" spans="1:11">
      <c r="F32" s="30"/>
      <c r="G32" s="228" t="s">
        <v>144</v>
      </c>
      <c r="H32" s="229">
        <v>-100</v>
      </c>
      <c r="I32" s="230" t="s">
        <v>87</v>
      </c>
      <c r="J32" s="229"/>
    </row>
    <row r="33" spans="6:10">
      <c r="F33" s="30"/>
      <c r="G33" s="228" t="s">
        <v>573</v>
      </c>
      <c r="H33" s="229">
        <v>-20</v>
      </c>
      <c r="I33" s="230" t="s">
        <v>87</v>
      </c>
      <c r="J33" s="244"/>
    </row>
    <row r="34" spans="6:10">
      <c r="F34" s="30"/>
      <c r="G34" s="228" t="s">
        <v>84</v>
      </c>
      <c r="H34" s="229">
        <v>-127</v>
      </c>
      <c r="I34" s="230" t="s">
        <v>87</v>
      </c>
      <c r="J34" s="244"/>
    </row>
    <row r="35" spans="6:10">
      <c r="F35" s="30"/>
      <c r="G35" s="244" t="s">
        <v>574</v>
      </c>
      <c r="H35" s="229"/>
      <c r="I35" s="230" t="s">
        <v>8</v>
      </c>
      <c r="J35" s="244" t="s">
        <v>502</v>
      </c>
    </row>
    <row r="36" spans="6:10">
      <c r="F36" s="30"/>
      <c r="G36" s="244" t="s">
        <v>610</v>
      </c>
      <c r="H36" s="229"/>
      <c r="I36" s="230" t="s">
        <v>8</v>
      </c>
      <c r="J36" s="244"/>
    </row>
    <row r="37" spans="6:10">
      <c r="F37" s="30"/>
      <c r="G37" s="244" t="s">
        <v>604</v>
      </c>
      <c r="H37" s="229">
        <v>-11</v>
      </c>
      <c r="I37" s="230" t="s">
        <v>87</v>
      </c>
      <c r="J37" s="244"/>
    </row>
    <row r="38" spans="6:10">
      <c r="F38" s="30"/>
      <c r="G38" s="244" t="s">
        <v>601</v>
      </c>
      <c r="H38" s="229">
        <v>-120</v>
      </c>
      <c r="I38" s="230" t="s">
        <v>87</v>
      </c>
      <c r="J38" s="244"/>
    </row>
    <row r="39" spans="6:10">
      <c r="F39" s="30"/>
      <c r="G39" s="244" t="s">
        <v>600</v>
      </c>
      <c r="H39" s="229">
        <v>-100</v>
      </c>
      <c r="I39" s="230" t="s">
        <v>87</v>
      </c>
      <c r="J39" s="244"/>
    </row>
    <row r="40" spans="6:10">
      <c r="F40" s="30"/>
      <c r="G40" s="244" t="s">
        <v>608</v>
      </c>
      <c r="H40" s="229">
        <v>-30</v>
      </c>
      <c r="I40" s="230" t="s">
        <v>87</v>
      </c>
      <c r="J40" s="244"/>
    </row>
    <row r="41" spans="6:10">
      <c r="F41" s="30"/>
      <c r="G41" s="244" t="s">
        <v>609</v>
      </c>
      <c r="H41" s="229">
        <v>-8</v>
      </c>
      <c r="I41" s="230" t="s">
        <v>87</v>
      </c>
      <c r="J41" s="244"/>
    </row>
    <row r="42" spans="6:10">
      <c r="F42" s="30"/>
      <c r="G42" s="244" t="s">
        <v>611</v>
      </c>
      <c r="H42" s="229">
        <v>-80</v>
      </c>
      <c r="I42" s="230" t="s">
        <v>87</v>
      </c>
      <c r="J42" s="244" t="s">
        <v>502</v>
      </c>
    </row>
    <row r="43" spans="6:10">
      <c r="F43" s="30"/>
      <c r="G43" s="244" t="s">
        <v>612</v>
      </c>
      <c r="H43" s="229">
        <v>-60</v>
      </c>
      <c r="I43" s="230" t="s">
        <v>87</v>
      </c>
      <c r="J43" s="244" t="s">
        <v>502</v>
      </c>
    </row>
    <row r="44" spans="6:10">
      <c r="F44" s="30"/>
      <c r="G44" s="244" t="s">
        <v>474</v>
      </c>
      <c r="H44" s="229">
        <v>-100</v>
      </c>
      <c r="I44" s="230" t="s">
        <v>87</v>
      </c>
      <c r="J44" s="244"/>
    </row>
    <row r="45" spans="6:10">
      <c r="F45" s="30"/>
      <c r="G45" s="244" t="s">
        <v>614</v>
      </c>
      <c r="H45" s="229">
        <v>-30</v>
      </c>
      <c r="I45" s="230" t="s">
        <v>87</v>
      </c>
      <c r="J45" s="244"/>
    </row>
    <row r="46" spans="6:10">
      <c r="F46" s="30"/>
      <c r="G46" s="244" t="s">
        <v>68</v>
      </c>
      <c r="H46" s="229">
        <v>-35</v>
      </c>
      <c r="I46" s="230" t="s">
        <v>87</v>
      </c>
      <c r="J46" s="244"/>
    </row>
    <row r="47" spans="6:10">
      <c r="G47" s="244" t="s">
        <v>185</v>
      </c>
      <c r="H47" s="229">
        <v>-240</v>
      </c>
      <c r="I47" s="230" t="s">
        <v>87</v>
      </c>
      <c r="J47" s="244"/>
    </row>
  </sheetData>
  <conditionalFormatting sqref="G2:H11 G12 G13:H31 G33:H34">
    <cfRule type="expression" dxfId="220" priority="2">
      <formula>#REF!</formula>
    </cfRule>
  </conditionalFormatting>
  <conditionalFormatting sqref="H35:H47">
    <cfRule type="expression" dxfId="219" priority="1">
      <formula>#REF!</formula>
    </cfRule>
  </conditionalFormatting>
  <conditionalFormatting sqref="I2:I47">
    <cfRule type="containsText" dxfId="218" priority="6" operator="containsText" text="No">
      <formula>NOT(ISERROR(SEARCH("No",I2)))</formula>
    </cfRule>
    <cfRule type="containsText" dxfId="217" priority="7" operator="containsText" text="yes">
      <formula>NOT(ISERROR(SEARCH("yes",I2)))</formula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16" priority="12">
      <formula>#REF!</formula>
    </cfRule>
  </conditionalFormatting>
  <conditionalFormatting sqref="I38:I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15" priority="9">
      <formula>#REF!</formula>
    </cfRule>
  </conditionalFormatting>
  <conditionalFormatting sqref="J2:J31">
    <cfRule type="expression" dxfId="214" priority="10">
      <formula>#REF!</formula>
    </cfRule>
  </conditionalFormatting>
  <conditionalFormatting sqref="J2:J3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{5655EA5A-38BA-47C1-8212-312C53CF883C}</x14:id>
        </ext>
      </extLst>
    </cfRule>
  </conditionalFormatting>
  <conditionalFormatting sqref="J38:J4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{5102F805-6DE9-490F-91E5-F363A79CFF2D}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55EA5A-38BA-47C1-8212-312C53CF8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5102F805-6DE9-490F-91E5-F363A79CFF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AFED-8A09-4451-8009-72EEC645748A}">
  <dimension ref="A1:K47"/>
  <sheetViews>
    <sheetView zoomScale="145" zoomScaleNormal="145" workbookViewId="0">
      <selection activeCell="D2" sqref="D2:E10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2.58203125" style="226" customWidth="1"/>
    <col min="12" max="253" width="8.58203125" style="226" customWidth="1"/>
    <col min="254" max="16384" width="8.58203125" style="226"/>
  </cols>
  <sheetData>
    <row r="1" spans="1:10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</row>
    <row r="2" spans="1:10">
      <c r="A2" s="213" t="s">
        <v>6</v>
      </c>
      <c r="B2" s="249">
        <v>5346.82</v>
      </c>
      <c r="C2" s="226"/>
      <c r="D2" s="6" t="s">
        <v>520</v>
      </c>
      <c r="E2" s="5">
        <v>100</v>
      </c>
      <c r="G2" s="228" t="s">
        <v>7</v>
      </c>
      <c r="H2" s="229">
        <v>-1268.67</v>
      </c>
      <c r="I2" s="230" t="s">
        <v>87</v>
      </c>
      <c r="J2" s="229"/>
    </row>
    <row r="3" spans="1:10">
      <c r="A3" s="214" t="s">
        <v>9</v>
      </c>
      <c r="B3" s="192">
        <f>SUMIF(I2:I47,"Yes*",H2:H47)</f>
        <v>-5598.7300000000005</v>
      </c>
      <c r="C3" s="226"/>
      <c r="D3" s="24" t="s">
        <v>597</v>
      </c>
      <c r="E3" s="25">
        <v>300</v>
      </c>
      <c r="G3" s="228"/>
      <c r="H3" s="229"/>
      <c r="I3" s="230" t="s">
        <v>8</v>
      </c>
      <c r="J3" s="229" t="s">
        <v>514</v>
      </c>
    </row>
    <row r="4" spans="1:10" outlineLevel="1">
      <c r="A4" s="213" t="s">
        <v>12</v>
      </c>
      <c r="B4" s="249">
        <v>13.38</v>
      </c>
      <c r="C4" s="226"/>
      <c r="D4" s="24" t="s">
        <v>522</v>
      </c>
      <c r="E4" s="25">
        <v>89</v>
      </c>
      <c r="F4" s="231"/>
      <c r="G4" s="228" t="s">
        <v>14</v>
      </c>
      <c r="H4" s="229">
        <v>-37</v>
      </c>
      <c r="I4" s="230" t="s">
        <v>87</v>
      </c>
      <c r="J4" s="229"/>
    </row>
    <row r="5" spans="1:10" ht="15" thickBot="1">
      <c r="A5" s="215" t="s">
        <v>15</v>
      </c>
      <c r="B5" s="200">
        <f>SUMIF(I2:I47,"No",H2:H47)</f>
        <v>0</v>
      </c>
      <c r="C5" s="226"/>
      <c r="D5" s="24" t="s">
        <v>526</v>
      </c>
      <c r="E5" s="25">
        <v>550</v>
      </c>
      <c r="G5" s="228" t="s">
        <v>17</v>
      </c>
      <c r="H5" s="229">
        <v>-39</v>
      </c>
      <c r="I5" s="230" t="s">
        <v>87</v>
      </c>
      <c r="J5" s="229"/>
    </row>
    <row r="6" spans="1:10" ht="15" thickBot="1">
      <c r="A6" s="216" t="s">
        <v>18</v>
      </c>
      <c r="B6" s="29">
        <f>B5+B4</f>
        <v>13.38</v>
      </c>
      <c r="C6" s="226" t="s">
        <v>19</v>
      </c>
      <c r="D6" s="24" t="s">
        <v>596</v>
      </c>
      <c r="E6" s="25">
        <v>215</v>
      </c>
      <c r="G6" s="228" t="s">
        <v>21</v>
      </c>
      <c r="H6" s="229">
        <v>-15</v>
      </c>
      <c r="I6" s="230" t="s">
        <v>87</v>
      </c>
      <c r="J6" s="229"/>
    </row>
    <row r="7" spans="1:10">
      <c r="A7" s="217" t="s">
        <v>504</v>
      </c>
      <c r="B7" s="201">
        <f>SUMIF(J2:J47,"f1",H2:H47)</f>
        <v>-1810</v>
      </c>
      <c r="C7" s="30"/>
      <c r="D7" s="24" t="s">
        <v>601</v>
      </c>
      <c r="E7" s="25"/>
      <c r="G7" s="228" t="s">
        <v>24</v>
      </c>
      <c r="H7" s="229">
        <v>-155</v>
      </c>
      <c r="I7" s="230" t="s">
        <v>87</v>
      </c>
      <c r="J7" s="229"/>
    </row>
    <row r="8" spans="1:10">
      <c r="A8" s="218" t="s">
        <v>505</v>
      </c>
      <c r="B8" s="194">
        <f>SUMIF(J2:J47,"f2",H2:H47)</f>
        <v>-61</v>
      </c>
      <c r="C8" s="30"/>
      <c r="D8" s="24" t="s">
        <v>133</v>
      </c>
      <c r="E8" s="25">
        <v>150</v>
      </c>
      <c r="G8" s="228" t="s">
        <v>25</v>
      </c>
      <c r="H8" s="229">
        <v>-50</v>
      </c>
      <c r="I8" s="230" t="s">
        <v>87</v>
      </c>
      <c r="J8" s="229" t="s">
        <v>514</v>
      </c>
    </row>
    <row r="9" spans="1:10">
      <c r="A9" s="218" t="s">
        <v>147</v>
      </c>
      <c r="B9" s="194">
        <f>SUMIF(J2:J47,"",H2:H47)</f>
        <v>-3602.7300000000005</v>
      </c>
      <c r="C9" s="226"/>
      <c r="D9" s="24" t="s">
        <v>602</v>
      </c>
      <c r="E9" s="25">
        <v>220</v>
      </c>
      <c r="G9" s="228" t="s">
        <v>27</v>
      </c>
      <c r="H9" s="229">
        <v>-20</v>
      </c>
      <c r="I9" s="230" t="s">
        <v>87</v>
      </c>
      <c r="J9" s="229"/>
    </row>
    <row r="10" spans="1:10" ht="15" thickBot="1">
      <c r="A10" s="218" t="s">
        <v>202</v>
      </c>
      <c r="B10" s="194">
        <f>SUMIF(J2:J47,"s",H2:H47)</f>
        <v>-125</v>
      </c>
      <c r="C10" s="226"/>
      <c r="D10" s="24" t="s">
        <v>394</v>
      </c>
      <c r="E10" s="25">
        <v>63</v>
      </c>
      <c r="G10" s="228" t="s">
        <v>575</v>
      </c>
      <c r="H10" s="229">
        <v>-55</v>
      </c>
      <c r="I10" s="230" t="s">
        <v>87</v>
      </c>
      <c r="J10" s="229" t="s">
        <v>514</v>
      </c>
    </row>
    <row r="11" spans="1:10" ht="15" thickBot="1">
      <c r="A11" s="232"/>
      <c r="C11" s="226"/>
      <c r="D11" s="26" t="s">
        <v>28</v>
      </c>
      <c r="E11" s="27">
        <f>SUM(E2:E10)</f>
        <v>1687</v>
      </c>
      <c r="G11" s="228" t="s">
        <v>30</v>
      </c>
      <c r="H11" s="229"/>
      <c r="I11" s="230" t="s">
        <v>8</v>
      </c>
      <c r="J11" s="229"/>
    </row>
    <row r="12" spans="1:10" ht="15" thickBot="1">
      <c r="A12" s="233"/>
      <c r="B12" s="234"/>
      <c r="C12" s="226"/>
      <c r="D12" s="26"/>
      <c r="E12" s="27"/>
      <c r="G12" s="228" t="s">
        <v>128</v>
      </c>
      <c r="H12" s="235">
        <v>-8.99</v>
      </c>
      <c r="I12" s="230" t="s">
        <v>87</v>
      </c>
      <c r="J12" s="229"/>
    </row>
    <row r="13" spans="1:10" ht="15" thickBot="1">
      <c r="A13" s="27" t="s">
        <v>528</v>
      </c>
      <c r="B13" s="27">
        <v>10000</v>
      </c>
      <c r="C13" s="226"/>
      <c r="D13" s="26" t="s">
        <v>543</v>
      </c>
      <c r="E13" s="27">
        <v>5145.97</v>
      </c>
      <c r="G13" s="228" t="s">
        <v>33</v>
      </c>
      <c r="H13" s="229">
        <v>-225</v>
      </c>
      <c r="I13" s="230" t="s">
        <v>87</v>
      </c>
      <c r="J13" s="229"/>
    </row>
    <row r="14" spans="1:10" ht="15" thickBot="1">
      <c r="A14" s="27" t="s">
        <v>501</v>
      </c>
      <c r="B14" s="27">
        <f>E12+E13</f>
        <v>5145.97</v>
      </c>
      <c r="C14" s="226"/>
      <c r="D14" s="26" t="s">
        <v>580</v>
      </c>
      <c r="E14" s="27">
        <v>1175</v>
      </c>
      <c r="G14" s="228" t="s">
        <v>34</v>
      </c>
      <c r="H14" s="229">
        <v>-13</v>
      </c>
      <c r="I14" s="230" t="s">
        <v>87</v>
      </c>
      <c r="J14" s="229"/>
    </row>
    <row r="15" spans="1:10" ht="15" thickBot="1">
      <c r="A15" s="27" t="s">
        <v>529</v>
      </c>
      <c r="B15" s="27">
        <f>B13-B14</f>
        <v>4854.03</v>
      </c>
      <c r="C15" s="226"/>
      <c r="D15" s="26"/>
      <c r="E15" s="27"/>
      <c r="G15" s="228" t="s">
        <v>470</v>
      </c>
      <c r="H15" s="229">
        <v>-10</v>
      </c>
      <c r="I15" s="230" t="s">
        <v>87</v>
      </c>
      <c r="J15" s="229" t="s">
        <v>502</v>
      </c>
    </row>
    <row r="16" spans="1:10" ht="15" thickBot="1">
      <c r="A16" s="27" t="s">
        <v>530</v>
      </c>
      <c r="B16" s="246">
        <f>B14/B13</f>
        <v>0.51459699999999997</v>
      </c>
      <c r="C16" s="226"/>
      <c r="D16" s="26" t="s">
        <v>579</v>
      </c>
      <c r="E16" s="27">
        <v>799.91</v>
      </c>
      <c r="G16" s="228" t="s">
        <v>34</v>
      </c>
      <c r="H16" s="229">
        <v>-31.5</v>
      </c>
      <c r="I16" s="230" t="s">
        <v>87</v>
      </c>
      <c r="J16" s="229"/>
    </row>
    <row r="17" spans="1:11">
      <c r="A17" s="211"/>
      <c r="B17" s="236"/>
      <c r="C17" s="226"/>
      <c r="G17" s="228" t="s">
        <v>39</v>
      </c>
      <c r="H17" s="229">
        <v>-1.5</v>
      </c>
      <c r="I17" s="230" t="s">
        <v>87</v>
      </c>
      <c r="J17" s="229"/>
    </row>
    <row r="18" spans="1:11">
      <c r="A18" s="237" t="s">
        <v>7</v>
      </c>
      <c r="C18" s="226"/>
      <c r="G18" s="228" t="s">
        <v>479</v>
      </c>
      <c r="H18" s="229">
        <v>-5</v>
      </c>
      <c r="I18" s="230" t="s">
        <v>87</v>
      </c>
      <c r="J18" s="229"/>
    </row>
    <row r="19" spans="1:11">
      <c r="A19" s="219" t="s">
        <v>35</v>
      </c>
      <c r="B19" s="202">
        <v>152191.25</v>
      </c>
      <c r="C19" s="226"/>
      <c r="G19" s="228" t="s">
        <v>68</v>
      </c>
      <c r="H19" s="229">
        <v>-800</v>
      </c>
      <c r="I19" s="230" t="s">
        <v>87</v>
      </c>
      <c r="J19" s="229" t="s">
        <v>502</v>
      </c>
    </row>
    <row r="20" spans="1:11" ht="15" thickBot="1">
      <c r="A20" s="220" t="s">
        <v>37</v>
      </c>
      <c r="B20" s="203">
        <v>80528.960000000006</v>
      </c>
      <c r="C20" s="226"/>
      <c r="G20" s="228" t="s">
        <v>70</v>
      </c>
      <c r="H20" s="229">
        <v>-28</v>
      </c>
      <c r="I20" s="230" t="s">
        <v>87</v>
      </c>
      <c r="J20" s="229" t="s">
        <v>503</v>
      </c>
    </row>
    <row r="21" spans="1:11" ht="15" thickBot="1">
      <c r="A21" s="221" t="s">
        <v>38</v>
      </c>
      <c r="B21" s="204">
        <f>SUM(B19:B20)</f>
        <v>232720.21000000002</v>
      </c>
      <c r="C21" s="226"/>
      <c r="G21" s="228" t="s">
        <v>552</v>
      </c>
      <c r="H21" s="229">
        <v>-20</v>
      </c>
      <c r="I21" s="230" t="s">
        <v>87</v>
      </c>
      <c r="J21" s="229" t="s">
        <v>502</v>
      </c>
    </row>
    <row r="22" spans="1:11" ht="15" thickBot="1">
      <c r="A22" s="222" t="s">
        <v>40</v>
      </c>
      <c r="B22" s="205">
        <f>B23*0.2</f>
        <v>95000</v>
      </c>
      <c r="C22" s="226"/>
      <c r="G22" s="228" t="s">
        <v>49</v>
      </c>
      <c r="H22" s="229">
        <v>-900</v>
      </c>
      <c r="I22" s="230" t="s">
        <v>87</v>
      </c>
      <c r="J22" s="229" t="s">
        <v>502</v>
      </c>
    </row>
    <row r="23" spans="1:11">
      <c r="A23" s="238" t="s">
        <v>43</v>
      </c>
      <c r="B23" s="248">
        <v>475000</v>
      </c>
      <c r="C23" s="226"/>
      <c r="G23" s="228" t="s">
        <v>74</v>
      </c>
      <c r="H23" s="229">
        <v>-11</v>
      </c>
      <c r="I23" s="230" t="s">
        <v>87</v>
      </c>
      <c r="J23" s="229"/>
    </row>
    <row r="24" spans="1:11">
      <c r="A24" s="240" t="s">
        <v>46</v>
      </c>
      <c r="B24" s="247">
        <f>B23-SUM(B21:B22)</f>
        <v>147279.78999999998</v>
      </c>
      <c r="G24" s="228" t="s">
        <v>52</v>
      </c>
      <c r="H24" s="229">
        <v>-7.6</v>
      </c>
      <c r="I24" s="230" t="s">
        <v>87</v>
      </c>
      <c r="J24" s="229"/>
    </row>
    <row r="25" spans="1:11">
      <c r="G25" s="228" t="s">
        <v>62</v>
      </c>
      <c r="H25" s="229">
        <v>-20</v>
      </c>
      <c r="I25" s="230" t="s">
        <v>87</v>
      </c>
      <c r="J25" s="229" t="s">
        <v>514</v>
      </c>
    </row>
    <row r="26" spans="1:11">
      <c r="G26" s="228" t="s">
        <v>55</v>
      </c>
      <c r="H26" s="229">
        <v>-31</v>
      </c>
      <c r="I26" s="230" t="s">
        <v>87</v>
      </c>
      <c r="J26" s="229"/>
    </row>
    <row r="27" spans="1:11">
      <c r="G27" s="228" t="s">
        <v>56</v>
      </c>
      <c r="H27" s="229">
        <v>-80</v>
      </c>
      <c r="I27" s="230" t="s">
        <v>87</v>
      </c>
      <c r="J27" s="229" t="s">
        <v>502</v>
      </c>
    </row>
    <row r="28" spans="1:11">
      <c r="G28" s="228" t="s">
        <v>78</v>
      </c>
      <c r="H28" s="229">
        <v>-18</v>
      </c>
      <c r="I28" s="230" t="s">
        <v>87</v>
      </c>
      <c r="J28" s="229"/>
      <c r="K28" s="242"/>
    </row>
    <row r="29" spans="1:11">
      <c r="A29" s="226" t="s">
        <v>73</v>
      </c>
      <c r="G29" s="228" t="s">
        <v>57</v>
      </c>
      <c r="H29" s="229">
        <v>-33</v>
      </c>
      <c r="I29" s="230" t="s">
        <v>87</v>
      </c>
      <c r="J29" s="229" t="s">
        <v>503</v>
      </c>
    </row>
    <row r="30" spans="1:11">
      <c r="A30" s="31" t="s">
        <v>509</v>
      </c>
      <c r="G30" s="228" t="s">
        <v>79</v>
      </c>
      <c r="H30" s="229">
        <v>-12</v>
      </c>
      <c r="I30" s="230" t="s">
        <v>87</v>
      </c>
      <c r="J30" s="229"/>
    </row>
    <row r="31" spans="1:11" ht="15.5">
      <c r="A31" s="243">
        <v>1104841580</v>
      </c>
      <c r="F31" s="30"/>
      <c r="G31" s="228" t="s">
        <v>80</v>
      </c>
      <c r="H31" s="229">
        <v>-33</v>
      </c>
      <c r="I31" s="230" t="s">
        <v>87</v>
      </c>
      <c r="J31" s="229"/>
    </row>
    <row r="32" spans="1:11">
      <c r="F32" s="30"/>
      <c r="G32" s="228" t="s">
        <v>144</v>
      </c>
      <c r="H32" s="229">
        <v>-100</v>
      </c>
      <c r="I32" s="230" t="s">
        <v>87</v>
      </c>
      <c r="J32" s="229"/>
    </row>
    <row r="33" spans="6:10">
      <c r="F33" s="30"/>
      <c r="G33" s="228" t="s">
        <v>573</v>
      </c>
      <c r="H33" s="229">
        <v>-20</v>
      </c>
      <c r="I33" s="230" t="s">
        <v>87</v>
      </c>
      <c r="J33" s="244"/>
    </row>
    <row r="34" spans="6:10">
      <c r="F34" s="30"/>
      <c r="G34" s="228" t="s">
        <v>84</v>
      </c>
      <c r="H34" s="229">
        <v>-127</v>
      </c>
      <c r="I34" s="230" t="s">
        <v>87</v>
      </c>
      <c r="J34" s="244"/>
    </row>
    <row r="35" spans="6:10">
      <c r="F35" s="30"/>
      <c r="G35" s="244" t="s">
        <v>574</v>
      </c>
      <c r="H35" s="229">
        <v>-20</v>
      </c>
      <c r="I35" s="230" t="s">
        <v>87</v>
      </c>
      <c r="J35" s="244"/>
    </row>
    <row r="36" spans="6:10">
      <c r="F36" s="30"/>
      <c r="G36" s="244" t="s">
        <v>607</v>
      </c>
      <c r="H36" s="229">
        <v>-23</v>
      </c>
      <c r="I36" s="230" t="s">
        <v>87</v>
      </c>
      <c r="J36" s="244"/>
    </row>
    <row r="37" spans="6:10">
      <c r="F37" s="30"/>
      <c r="G37" s="244" t="s">
        <v>603</v>
      </c>
      <c r="H37" s="229">
        <v>-11</v>
      </c>
      <c r="I37" s="230" t="s">
        <v>87</v>
      </c>
      <c r="J37" s="244"/>
    </row>
    <row r="38" spans="6:10">
      <c r="F38" s="30"/>
      <c r="G38" s="244" t="s">
        <v>577</v>
      </c>
      <c r="H38" s="229">
        <v>-413.46</v>
      </c>
      <c r="I38" s="230" t="s">
        <v>87</v>
      </c>
      <c r="J38" s="244"/>
    </row>
    <row r="39" spans="6:10">
      <c r="F39" s="30"/>
      <c r="G39" s="244" t="s">
        <v>593</v>
      </c>
      <c r="H39" s="229">
        <v>-220</v>
      </c>
      <c r="I39" s="230" t="s">
        <v>87</v>
      </c>
      <c r="J39" s="244"/>
    </row>
    <row r="40" spans="6:10">
      <c r="F40" s="30"/>
      <c r="G40" s="244" t="s">
        <v>594</v>
      </c>
      <c r="H40" s="229">
        <v>-332.67</v>
      </c>
      <c r="I40" s="230" t="s">
        <v>87</v>
      </c>
      <c r="J40" s="244"/>
    </row>
    <row r="41" spans="6:10">
      <c r="F41" s="30"/>
      <c r="G41" s="244" t="s">
        <v>599</v>
      </c>
      <c r="H41" s="229">
        <v>-150</v>
      </c>
      <c r="I41" s="230" t="s">
        <v>87</v>
      </c>
      <c r="J41" s="244"/>
    </row>
    <row r="42" spans="6:10">
      <c r="F42" s="30"/>
      <c r="G42" s="244" t="s">
        <v>598</v>
      </c>
      <c r="H42" s="229">
        <v>-120</v>
      </c>
      <c r="I42" s="230" t="s">
        <v>87</v>
      </c>
      <c r="J42" s="244"/>
    </row>
    <row r="43" spans="6:10">
      <c r="F43" s="30"/>
      <c r="G43" s="244" t="s">
        <v>149</v>
      </c>
      <c r="H43" s="229">
        <v>-100</v>
      </c>
      <c r="I43" s="230" t="s">
        <v>87</v>
      </c>
      <c r="J43" s="244"/>
    </row>
    <row r="44" spans="6:10">
      <c r="F44" s="30"/>
      <c r="G44" s="244" t="s">
        <v>123</v>
      </c>
      <c r="H44" s="229">
        <v>-33.340000000000003</v>
      </c>
      <c r="I44" s="230" t="s">
        <v>87</v>
      </c>
      <c r="J44" s="244"/>
    </row>
    <row r="45" spans="6:10">
      <c r="F45" s="30"/>
      <c r="G45" s="244"/>
      <c r="H45" s="229"/>
      <c r="I45" s="230" t="s">
        <v>8</v>
      </c>
      <c r="J45" s="244"/>
    </row>
    <row r="46" spans="6:10">
      <c r="F46" s="30"/>
      <c r="G46" s="244"/>
      <c r="H46" s="229"/>
      <c r="I46" s="230" t="s">
        <v>8</v>
      </c>
      <c r="J46" s="244"/>
    </row>
    <row r="47" spans="6:10">
      <c r="G47" s="244"/>
      <c r="H47" s="229"/>
      <c r="I47" s="230" t="s">
        <v>8</v>
      </c>
      <c r="J47" s="244"/>
    </row>
  </sheetData>
  <conditionalFormatting sqref="G2:H11 G12 G13:H31 G33:H34">
    <cfRule type="expression" dxfId="213" priority="2">
      <formula>#REF!</formula>
    </cfRule>
  </conditionalFormatting>
  <conditionalFormatting sqref="H35:H47">
    <cfRule type="expression" dxfId="212" priority="1">
      <formula>#REF!</formula>
    </cfRule>
  </conditionalFormatting>
  <conditionalFormatting sqref="I2:I47">
    <cfRule type="containsText" dxfId="211" priority="6" operator="containsText" text="No">
      <formula>NOT(ISERROR(SEARCH("No",I2)))</formula>
    </cfRule>
    <cfRule type="containsText" dxfId="210" priority="7" operator="containsText" text="yes">
      <formula>NOT(ISERROR(SEARCH("yes",I2)))</formula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09" priority="12">
      <formula>#REF!</formula>
    </cfRule>
  </conditionalFormatting>
  <conditionalFormatting sqref="I38:I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08" priority="9">
      <formula>#REF!</formula>
    </cfRule>
  </conditionalFormatting>
  <conditionalFormatting sqref="J2:J31">
    <cfRule type="expression" dxfId="207" priority="10">
      <formula>#REF!</formula>
    </cfRule>
  </conditionalFormatting>
  <conditionalFormatting sqref="J2:J3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{ED9E6228-F31E-49B5-B9BA-AADA736FC07E}</x14:id>
        </ext>
      </extLst>
    </cfRule>
  </conditionalFormatting>
  <conditionalFormatting sqref="J38:J4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{1D48F18D-EF56-42D3-94D0-B4F099416226}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9E6228-F31E-49B5-B9BA-AADA736FC0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1D48F18D-EF56-42D3-94D0-B4F099416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5548-5EDF-4770-9850-99056F57AC6A}">
  <dimension ref="A1:L47"/>
  <sheetViews>
    <sheetView zoomScale="145" zoomScaleNormal="145" workbookViewId="0">
      <selection activeCell="H22" sqref="H22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10.08203125" bestFit="1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  <c r="K1" s="227" t="s">
        <v>534</v>
      </c>
    </row>
    <row r="2" spans="1:11">
      <c r="A2" s="213" t="s">
        <v>6</v>
      </c>
      <c r="B2" s="249">
        <v>5188.49</v>
      </c>
      <c r="C2" s="226"/>
      <c r="D2" s="7"/>
      <c r="E2" s="4"/>
      <c r="G2" s="228" t="s">
        <v>7</v>
      </c>
      <c r="H2" s="229">
        <v>-1261.98</v>
      </c>
      <c r="I2" s="230" t="s">
        <v>87</v>
      </c>
      <c r="J2" s="229"/>
      <c r="K2" s="229" t="s">
        <v>535</v>
      </c>
    </row>
    <row r="3" spans="1:11">
      <c r="A3" s="214" t="s">
        <v>9</v>
      </c>
      <c r="B3" s="192">
        <f>SUMIF(I2:I47,"Yes*",H2:H47)</f>
        <v>-5326.46</v>
      </c>
      <c r="C3" s="226"/>
      <c r="D3" s="6" t="s">
        <v>520</v>
      </c>
      <c r="E3" s="5">
        <v>50</v>
      </c>
      <c r="G3" s="228" t="s">
        <v>585</v>
      </c>
      <c r="H3" s="229">
        <v>-350</v>
      </c>
      <c r="I3" s="230" t="s">
        <v>87</v>
      </c>
      <c r="J3" s="229" t="s">
        <v>514</v>
      </c>
      <c r="K3" s="229" t="s">
        <v>202</v>
      </c>
    </row>
    <row r="4" spans="1:11" outlineLevel="1">
      <c r="A4" s="213" t="s">
        <v>12</v>
      </c>
      <c r="B4" s="249">
        <v>4.7300000000000004</v>
      </c>
      <c r="C4" s="226"/>
      <c r="D4" s="24" t="s">
        <v>597</v>
      </c>
      <c r="E4" s="25">
        <v>300</v>
      </c>
      <c r="F4" s="231"/>
      <c r="G4" s="228" t="s">
        <v>14</v>
      </c>
      <c r="H4" s="229">
        <v>-37</v>
      </c>
      <c r="I4" s="230" t="s">
        <v>87</v>
      </c>
      <c r="J4" s="229"/>
      <c r="K4" s="229" t="s">
        <v>536</v>
      </c>
    </row>
    <row r="5" spans="1:11" ht="15" thickBot="1">
      <c r="A5" s="215" t="s">
        <v>15</v>
      </c>
      <c r="B5" s="200">
        <f>SUMIF(I2:I47,"No",H2:H47)</f>
        <v>0</v>
      </c>
      <c r="C5" s="226"/>
      <c r="D5" s="24" t="s">
        <v>522</v>
      </c>
      <c r="E5" s="25"/>
      <c r="G5" s="228" t="s">
        <v>17</v>
      </c>
      <c r="H5" s="229">
        <v>-39</v>
      </c>
      <c r="I5" s="230" t="s">
        <v>87</v>
      </c>
      <c r="J5" s="229"/>
      <c r="K5" s="229" t="s">
        <v>536</v>
      </c>
    </row>
    <row r="6" spans="1:11" ht="15" thickBot="1">
      <c r="A6" s="216" t="s">
        <v>18</v>
      </c>
      <c r="B6" s="29">
        <f>B5+B4</f>
        <v>4.7300000000000004</v>
      </c>
      <c r="C6" s="226" t="s">
        <v>19</v>
      </c>
      <c r="D6" s="24" t="s">
        <v>526</v>
      </c>
      <c r="E6" s="25">
        <v>530</v>
      </c>
      <c r="G6" s="228" t="s">
        <v>21</v>
      </c>
      <c r="H6" s="229">
        <v>-15</v>
      </c>
      <c r="I6" s="230" t="s">
        <v>87</v>
      </c>
      <c r="J6" s="229"/>
      <c r="K6" s="229" t="s">
        <v>537</v>
      </c>
    </row>
    <row r="7" spans="1:11">
      <c r="A7" s="217" t="s">
        <v>504</v>
      </c>
      <c r="B7" s="201">
        <f>SUMIF(J2:J47,"f1",H2:H47)</f>
        <v>-2025</v>
      </c>
      <c r="C7" s="30"/>
      <c r="D7" s="24" t="s">
        <v>596</v>
      </c>
      <c r="E7" s="25">
        <v>200</v>
      </c>
      <c r="G7" s="228" t="s">
        <v>24</v>
      </c>
      <c r="H7" s="229">
        <v>-155</v>
      </c>
      <c r="I7" s="230" t="s">
        <v>87</v>
      </c>
      <c r="J7" s="229"/>
      <c r="K7" s="229" t="s">
        <v>537</v>
      </c>
    </row>
    <row r="8" spans="1:11">
      <c r="A8" s="218" t="s">
        <v>505</v>
      </c>
      <c r="B8" s="194">
        <f>SUMIF(J2:J47,"f2",H2:H47)</f>
        <v>-61</v>
      </c>
      <c r="C8" s="30"/>
      <c r="D8" s="24" t="s">
        <v>595</v>
      </c>
      <c r="E8" s="25">
        <v>221</v>
      </c>
      <c r="G8" s="228" t="s">
        <v>25</v>
      </c>
      <c r="H8" s="229">
        <v>-50</v>
      </c>
      <c r="I8" s="230" t="s">
        <v>87</v>
      </c>
      <c r="J8" s="229" t="s">
        <v>514</v>
      </c>
      <c r="K8" s="229" t="s">
        <v>536</v>
      </c>
    </row>
    <row r="9" spans="1:11">
      <c r="A9" s="218" t="s">
        <v>147</v>
      </c>
      <c r="B9" s="194">
        <f>SUMIF(J2:J47,"",H2:H47)</f>
        <v>-2773.46</v>
      </c>
      <c r="C9" s="226"/>
      <c r="D9" s="24" t="s">
        <v>133</v>
      </c>
      <c r="E9" s="25">
        <v>150</v>
      </c>
      <c r="G9" s="228" t="s">
        <v>27</v>
      </c>
      <c r="H9" s="229">
        <v>-20</v>
      </c>
      <c r="I9" s="230" t="s">
        <v>87</v>
      </c>
      <c r="J9" s="229"/>
      <c r="K9" s="229" t="s">
        <v>538</v>
      </c>
    </row>
    <row r="10" spans="1:11" ht="15" thickBot="1">
      <c r="A10" s="218" t="s">
        <v>202</v>
      </c>
      <c r="B10" s="194">
        <f>SUMIF(J2:J47,"s",H2:H47)</f>
        <v>-467</v>
      </c>
      <c r="C10" s="226"/>
      <c r="D10" s="24"/>
      <c r="E10" s="25"/>
      <c r="G10" s="228" t="s">
        <v>575</v>
      </c>
      <c r="H10" s="229">
        <v>-67</v>
      </c>
      <c r="I10" s="230" t="s">
        <v>87</v>
      </c>
      <c r="J10" s="229" t="s">
        <v>514</v>
      </c>
      <c r="K10" s="229" t="s">
        <v>202</v>
      </c>
    </row>
    <row r="11" spans="1:11" ht="15" thickBot="1">
      <c r="A11" s="232"/>
      <c r="C11" s="226"/>
      <c r="D11" s="26" t="s">
        <v>28</v>
      </c>
      <c r="E11" s="27">
        <f>SUM(E2:E10)</f>
        <v>1451</v>
      </c>
      <c r="G11" s="228" t="s">
        <v>30</v>
      </c>
      <c r="H11" s="229">
        <v>-4.99</v>
      </c>
      <c r="I11" s="230" t="s">
        <v>87</v>
      </c>
      <c r="J11" s="229"/>
      <c r="K11" s="229" t="s">
        <v>538</v>
      </c>
    </row>
    <row r="12" spans="1:11" ht="15" thickBot="1">
      <c r="A12" s="233"/>
      <c r="B12" s="234"/>
      <c r="C12" s="226"/>
      <c r="D12" s="26" t="s">
        <v>501</v>
      </c>
      <c r="E12" s="27"/>
      <c r="G12" s="228" t="s">
        <v>128</v>
      </c>
      <c r="H12" s="235">
        <v>-8.99</v>
      </c>
      <c r="I12" s="230" t="s">
        <v>87</v>
      </c>
      <c r="J12" s="229"/>
      <c r="K12" s="229" t="s">
        <v>538</v>
      </c>
    </row>
    <row r="13" spans="1:11" ht="15" thickBot="1">
      <c r="A13" s="27" t="s">
        <v>528</v>
      </c>
      <c r="B13" s="27">
        <v>10000</v>
      </c>
      <c r="C13" s="226"/>
      <c r="D13" s="26" t="s">
        <v>543</v>
      </c>
      <c r="E13" s="27">
        <v>5145.97</v>
      </c>
      <c r="G13" s="228" t="s">
        <v>33</v>
      </c>
      <c r="H13" s="229">
        <v>-225</v>
      </c>
      <c r="I13" s="230" t="s">
        <v>87</v>
      </c>
      <c r="J13" s="229"/>
      <c r="K13" s="229" t="s">
        <v>537</v>
      </c>
    </row>
    <row r="14" spans="1:11" ht="15" thickBot="1">
      <c r="A14" s="27" t="s">
        <v>501</v>
      </c>
      <c r="B14" s="27">
        <f>E12+E13</f>
        <v>5145.97</v>
      </c>
      <c r="C14" s="226"/>
      <c r="D14" s="26" t="s">
        <v>580</v>
      </c>
      <c r="E14" s="27">
        <v>1455</v>
      </c>
      <c r="G14" s="228" t="s">
        <v>34</v>
      </c>
      <c r="H14" s="229">
        <v>-13</v>
      </c>
      <c r="I14" s="230" t="s">
        <v>87</v>
      </c>
      <c r="J14" s="229"/>
      <c r="K14" s="229" t="s">
        <v>537</v>
      </c>
    </row>
    <row r="15" spans="1:11" ht="15" thickBot="1">
      <c r="A15" s="27" t="s">
        <v>529</v>
      </c>
      <c r="B15" s="27">
        <f>B13-B14</f>
        <v>4854.03</v>
      </c>
      <c r="C15" s="226"/>
      <c r="D15" s="26"/>
      <c r="E15" s="27"/>
      <c r="G15" s="228" t="s">
        <v>470</v>
      </c>
      <c r="H15" s="229"/>
      <c r="I15" s="230" t="s">
        <v>8</v>
      </c>
      <c r="J15" s="229"/>
      <c r="K15" s="229" t="s">
        <v>537</v>
      </c>
    </row>
    <row r="16" spans="1:11" ht="15" thickBot="1">
      <c r="A16" s="27" t="s">
        <v>530</v>
      </c>
      <c r="B16" s="246">
        <f>B14/B13</f>
        <v>0.51459699999999997</v>
      </c>
      <c r="C16" s="226"/>
      <c r="D16" s="26" t="s">
        <v>579</v>
      </c>
      <c r="E16" s="27">
        <v>595</v>
      </c>
      <c r="G16" s="228" t="s">
        <v>34</v>
      </c>
      <c r="H16" s="229">
        <v>-31.5</v>
      </c>
      <c r="I16" s="230" t="s">
        <v>87</v>
      </c>
      <c r="J16" s="229"/>
      <c r="K16" s="229" t="s">
        <v>537</v>
      </c>
    </row>
    <row r="17" spans="1:12">
      <c r="A17" s="211"/>
      <c r="B17" s="236"/>
      <c r="C17" s="226"/>
      <c r="G17" s="228" t="s">
        <v>39</v>
      </c>
      <c r="H17" s="229">
        <v>-1.5</v>
      </c>
      <c r="I17" s="230" t="s">
        <v>87</v>
      </c>
      <c r="J17" s="229"/>
      <c r="K17" s="229" t="s">
        <v>538</v>
      </c>
    </row>
    <row r="18" spans="1:12">
      <c r="A18" s="237" t="s">
        <v>7</v>
      </c>
      <c r="C18" s="226"/>
      <c r="D18" s="226" t="s">
        <v>116</v>
      </c>
      <c r="G18" s="228" t="s">
        <v>479</v>
      </c>
      <c r="H18" s="229">
        <v>-5</v>
      </c>
      <c r="I18" s="230" t="s">
        <v>87</v>
      </c>
      <c r="J18" s="229"/>
      <c r="K18" s="229" t="s">
        <v>536</v>
      </c>
    </row>
    <row r="19" spans="1:12">
      <c r="A19" s="219" t="s">
        <v>35</v>
      </c>
      <c r="B19" s="202">
        <v>153458.32</v>
      </c>
      <c r="C19" s="226"/>
      <c r="G19" s="228" t="s">
        <v>68</v>
      </c>
      <c r="H19" s="229">
        <v>-800</v>
      </c>
      <c r="I19" s="230" t="s">
        <v>87</v>
      </c>
      <c r="J19" s="229" t="s">
        <v>502</v>
      </c>
      <c r="K19" s="229" t="s">
        <v>22</v>
      </c>
    </row>
    <row r="20" spans="1:12" ht="15" thickBot="1">
      <c r="A20" s="220" t="s">
        <v>37</v>
      </c>
      <c r="B20" s="203">
        <v>81199.44</v>
      </c>
      <c r="C20" s="226"/>
      <c r="G20" s="228" t="s">
        <v>70</v>
      </c>
      <c r="H20" s="229">
        <v>-28</v>
      </c>
      <c r="I20" s="230" t="s">
        <v>87</v>
      </c>
      <c r="J20" s="229" t="s">
        <v>503</v>
      </c>
      <c r="K20" s="229" t="s">
        <v>539</v>
      </c>
    </row>
    <row r="21" spans="1:12" ht="15" thickBot="1">
      <c r="A21" s="221" t="s">
        <v>38</v>
      </c>
      <c r="B21" s="204">
        <f>SUM(B19:B20)</f>
        <v>234657.76</v>
      </c>
      <c r="C21" s="226"/>
      <c r="G21" s="228" t="s">
        <v>552</v>
      </c>
      <c r="H21" s="229">
        <v>-245</v>
      </c>
      <c r="I21" s="230" t="s">
        <v>87</v>
      </c>
      <c r="J21" s="229" t="s">
        <v>502</v>
      </c>
      <c r="K21" s="229" t="s">
        <v>22</v>
      </c>
    </row>
    <row r="22" spans="1:12" ht="15" thickBot="1">
      <c r="A22" s="222" t="s">
        <v>40</v>
      </c>
      <c r="B22" s="205">
        <f>B23*0.2</f>
        <v>90000</v>
      </c>
      <c r="C22" s="226"/>
      <c r="D22" s="226" t="s">
        <v>73</v>
      </c>
      <c r="G22" s="228" t="s">
        <v>49</v>
      </c>
      <c r="H22" s="229">
        <v>-900</v>
      </c>
      <c r="I22" s="230" t="s">
        <v>87</v>
      </c>
      <c r="J22" s="229" t="s">
        <v>502</v>
      </c>
      <c r="K22" s="229" t="s">
        <v>540</v>
      </c>
    </row>
    <row r="23" spans="1:12">
      <c r="A23" s="238" t="s">
        <v>43</v>
      </c>
      <c r="B23" s="248">
        <v>450000</v>
      </c>
      <c r="C23" s="226"/>
      <c r="G23" s="228" t="s">
        <v>74</v>
      </c>
      <c r="H23" s="229">
        <v>-11</v>
      </c>
      <c r="I23" s="230" t="s">
        <v>87</v>
      </c>
      <c r="J23" s="229"/>
      <c r="K23" s="229" t="s">
        <v>539</v>
      </c>
    </row>
    <row r="24" spans="1:12">
      <c r="A24" s="240" t="s">
        <v>46</v>
      </c>
      <c r="B24" s="247">
        <f>B23-SUM(B21:B22)</f>
        <v>125342.23999999999</v>
      </c>
      <c r="G24" s="228" t="s">
        <v>52</v>
      </c>
      <c r="H24" s="229">
        <v>-7.6</v>
      </c>
      <c r="I24" s="230" t="s">
        <v>87</v>
      </c>
      <c r="J24" s="229"/>
      <c r="K24" s="229" t="s">
        <v>537</v>
      </c>
    </row>
    <row r="25" spans="1:12">
      <c r="G25" s="228" t="s">
        <v>54</v>
      </c>
      <c r="H25" s="229"/>
      <c r="I25" s="230" t="s">
        <v>8</v>
      </c>
      <c r="J25" s="229" t="s">
        <v>514</v>
      </c>
      <c r="K25" s="229" t="s">
        <v>202</v>
      </c>
    </row>
    <row r="26" spans="1:12">
      <c r="G26" s="228" t="s">
        <v>55</v>
      </c>
      <c r="H26" s="229">
        <v>-31</v>
      </c>
      <c r="I26" s="230" t="s">
        <v>87</v>
      </c>
      <c r="J26" s="229"/>
      <c r="K26" s="229" t="s">
        <v>536</v>
      </c>
    </row>
    <row r="27" spans="1:12">
      <c r="G27" s="228" t="s">
        <v>56</v>
      </c>
      <c r="H27" s="229">
        <v>-80</v>
      </c>
      <c r="I27" s="230" t="s">
        <v>87</v>
      </c>
      <c r="J27" s="229" t="s">
        <v>502</v>
      </c>
      <c r="K27" s="229" t="s">
        <v>22</v>
      </c>
    </row>
    <row r="28" spans="1:12">
      <c r="G28" s="228" t="s">
        <v>78</v>
      </c>
      <c r="H28" s="229">
        <v>-18</v>
      </c>
      <c r="I28" s="230" t="s">
        <v>87</v>
      </c>
      <c r="J28" s="229"/>
      <c r="K28" s="229" t="s">
        <v>537</v>
      </c>
      <c r="L28" s="242"/>
    </row>
    <row r="29" spans="1:12">
      <c r="G29" s="228" t="s">
        <v>57</v>
      </c>
      <c r="H29" s="229">
        <v>-33</v>
      </c>
      <c r="I29" s="230" t="s">
        <v>87</v>
      </c>
      <c r="J29" s="229" t="s">
        <v>503</v>
      </c>
      <c r="K29" s="229" t="s">
        <v>22</v>
      </c>
    </row>
    <row r="30" spans="1:12">
      <c r="A30" s="31" t="s">
        <v>509</v>
      </c>
      <c r="G30" s="228" t="s">
        <v>79</v>
      </c>
      <c r="H30" s="229">
        <v>-12</v>
      </c>
      <c r="I30" s="230" t="s">
        <v>87</v>
      </c>
      <c r="J30" s="229"/>
      <c r="K30" s="229" t="s">
        <v>537</v>
      </c>
    </row>
    <row r="31" spans="1:12" ht="15.5">
      <c r="A31" s="243">
        <v>1104841580</v>
      </c>
      <c r="F31" s="30"/>
      <c r="G31" s="228" t="s">
        <v>80</v>
      </c>
      <c r="H31" s="229">
        <v>-33</v>
      </c>
      <c r="I31" s="230" t="s">
        <v>87</v>
      </c>
      <c r="J31" s="229"/>
      <c r="K31" s="229" t="s">
        <v>202</v>
      </c>
    </row>
    <row r="32" spans="1:12">
      <c r="F32" s="30"/>
      <c r="G32" s="228" t="s">
        <v>144</v>
      </c>
      <c r="H32" s="229">
        <v>-100</v>
      </c>
      <c r="I32" s="230" t="s">
        <v>87</v>
      </c>
      <c r="J32" s="229"/>
      <c r="K32" s="229" t="s">
        <v>541</v>
      </c>
    </row>
    <row r="33" spans="6:11">
      <c r="F33" s="30"/>
      <c r="G33" s="228" t="s">
        <v>573</v>
      </c>
      <c r="H33" s="229">
        <v>-20</v>
      </c>
      <c r="I33" s="230" t="s">
        <v>87</v>
      </c>
      <c r="J33" s="244"/>
      <c r="K33" s="229" t="s">
        <v>542</v>
      </c>
    </row>
    <row r="34" spans="6:11">
      <c r="F34" s="30"/>
      <c r="G34" s="228" t="s">
        <v>84</v>
      </c>
      <c r="H34" s="229">
        <v>-127</v>
      </c>
      <c r="I34" s="230" t="s">
        <v>87</v>
      </c>
      <c r="J34" s="244"/>
      <c r="K34" s="229" t="s">
        <v>535</v>
      </c>
    </row>
    <row r="35" spans="6:11">
      <c r="F35" s="30"/>
      <c r="G35" s="244" t="s">
        <v>574</v>
      </c>
      <c r="H35" s="229">
        <v>-20</v>
      </c>
      <c r="I35" s="230" t="s">
        <v>87</v>
      </c>
      <c r="J35" s="244"/>
      <c r="K35" s="229" t="s">
        <v>202</v>
      </c>
    </row>
    <row r="36" spans="6:11">
      <c r="F36" s="30"/>
      <c r="G36" s="244" t="s">
        <v>464</v>
      </c>
      <c r="H36" s="229">
        <v>-27</v>
      </c>
      <c r="I36" s="230" t="s">
        <v>87</v>
      </c>
      <c r="J36" s="244"/>
      <c r="K36" s="229" t="s">
        <v>22</v>
      </c>
    </row>
    <row r="37" spans="6:11">
      <c r="F37" s="30"/>
      <c r="G37" s="244" t="s">
        <v>62</v>
      </c>
      <c r="H37" s="229">
        <v>-20</v>
      </c>
      <c r="I37" s="230" t="s">
        <v>87</v>
      </c>
      <c r="J37" s="244"/>
      <c r="K37" s="229" t="s">
        <v>22</v>
      </c>
    </row>
    <row r="38" spans="6:11">
      <c r="F38" s="30"/>
      <c r="G38" s="244" t="s">
        <v>577</v>
      </c>
      <c r="H38" s="229">
        <v>-35.9</v>
      </c>
      <c r="I38" s="230" t="s">
        <v>87</v>
      </c>
      <c r="J38" s="244"/>
      <c r="K38" s="229"/>
    </row>
    <row r="39" spans="6:11">
      <c r="F39" s="30"/>
      <c r="G39" s="244" t="s">
        <v>207</v>
      </c>
      <c r="H39" s="229">
        <v>-40</v>
      </c>
      <c r="I39" s="230" t="s">
        <v>87</v>
      </c>
      <c r="J39" s="244"/>
      <c r="K39" s="229"/>
    </row>
    <row r="40" spans="6:11">
      <c r="F40" s="30"/>
      <c r="G40" s="244" t="s">
        <v>581</v>
      </c>
      <c r="H40" s="229">
        <v>-140</v>
      </c>
      <c r="I40" s="230" t="s">
        <v>87</v>
      </c>
      <c r="J40" s="244"/>
      <c r="K40" s="229"/>
    </row>
    <row r="41" spans="6:11">
      <c r="F41" s="30"/>
      <c r="G41" s="244" t="s">
        <v>582</v>
      </c>
      <c r="H41" s="229">
        <v>-150</v>
      </c>
      <c r="I41" s="230" t="s">
        <v>87</v>
      </c>
      <c r="J41" s="244"/>
      <c r="K41" s="229"/>
    </row>
    <row r="42" spans="6:11">
      <c r="F42" s="30"/>
      <c r="G42" s="244" t="s">
        <v>583</v>
      </c>
      <c r="H42" s="229">
        <v>-150</v>
      </c>
      <c r="I42" s="230" t="s">
        <v>87</v>
      </c>
      <c r="J42" s="244"/>
      <c r="K42" s="229"/>
    </row>
    <row r="43" spans="6:11">
      <c r="F43" s="30"/>
      <c r="G43" s="244" t="s">
        <v>74</v>
      </c>
      <c r="H43" s="229">
        <v>-8</v>
      </c>
      <c r="I43" s="230" t="s">
        <v>87</v>
      </c>
      <c r="J43" s="244"/>
      <c r="K43" s="229"/>
    </row>
    <row r="44" spans="6:11">
      <c r="F44" s="30"/>
      <c r="G44" s="244" t="s">
        <v>584</v>
      </c>
      <c r="H44" s="229">
        <v>-5</v>
      </c>
      <c r="I44" s="230" t="s">
        <v>87</v>
      </c>
      <c r="J44" s="244"/>
      <c r="K44" s="229"/>
    </row>
    <row r="45" spans="6:11">
      <c r="F45" s="30"/>
      <c r="G45" s="244"/>
      <c r="H45" s="229"/>
      <c r="I45" s="230" t="s">
        <v>8</v>
      </c>
      <c r="J45" s="244"/>
      <c r="K45" s="229"/>
    </row>
    <row r="46" spans="6:11">
      <c r="F46" s="30"/>
      <c r="G46" s="244"/>
      <c r="H46" s="229"/>
      <c r="I46" s="230" t="s">
        <v>8</v>
      </c>
      <c r="J46" s="244"/>
      <c r="K46" s="229"/>
    </row>
    <row r="47" spans="6:11">
      <c r="G47" s="244"/>
      <c r="H47" s="229"/>
      <c r="I47" s="230" t="s">
        <v>8</v>
      </c>
      <c r="J47" s="244"/>
      <c r="K47" s="229"/>
    </row>
  </sheetData>
  <conditionalFormatting sqref="G2:H11 G12 G13:H31 G33:H34">
    <cfRule type="expression" dxfId="206" priority="2">
      <formula>#REF!</formula>
    </cfRule>
  </conditionalFormatting>
  <conditionalFormatting sqref="H35:H47">
    <cfRule type="expression" dxfId="205" priority="1">
      <formula>#REF!</formula>
    </cfRule>
  </conditionalFormatting>
  <conditionalFormatting sqref="I2:I3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04" priority="12">
      <formula>#REF!</formula>
    </cfRule>
  </conditionalFormatting>
  <conditionalFormatting sqref="I2:I47">
    <cfRule type="containsText" dxfId="203" priority="6" operator="containsText" text="No">
      <formula>NOT(ISERROR(SEARCH("No",I2)))</formula>
    </cfRule>
    <cfRule type="containsText" dxfId="202" priority="7" operator="containsText" text="yes">
      <formula>NOT(ISERROR(SEARCH("yes",I2)))</formula>
    </cfRule>
  </conditionalFormatting>
  <conditionalFormatting sqref="I38:I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01" priority="9">
      <formula>#REF!</formula>
    </cfRule>
  </conditionalFormatting>
  <conditionalFormatting sqref="J2:J31">
    <cfRule type="expression" dxfId="200" priority="10">
      <formula>#REF!</formula>
    </cfRule>
  </conditionalFormatting>
  <conditionalFormatting sqref="J2:J3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{1E114DEC-A5EE-4AB6-9961-4078E26DD729}</x14:id>
        </ext>
      </extLst>
    </cfRule>
  </conditionalFormatting>
  <conditionalFormatting sqref="J38:J4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{127C9DBA-CA97-4B1C-AA72-BFF58646BCF6}</x14:id>
        </ext>
      </extLst>
    </cfRule>
  </conditionalFormatting>
  <conditionalFormatting sqref="K2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{7CA9B599-D642-4496-98B0-71BAC325FC84}</x14:id>
        </ext>
      </extLst>
    </cfRule>
    <cfRule type="expression" dxfId="199" priority="4">
      <formula>#REF!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114DEC-A5EE-4AB6-9961-4078E26DD7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127C9DBA-CA97-4B1C-AA72-BFF58646B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  <x14:conditionalFormatting xmlns:xm="http://schemas.microsoft.com/office/excel/2006/main">
          <x14:cfRule type="dataBar" id="{7CA9B599-D642-4496-98B0-71BAC325F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K2:K47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C342-248C-45D2-8A3C-9161FC4ACDD1}">
  <dimension ref="A1:K47"/>
  <sheetViews>
    <sheetView zoomScale="145" zoomScaleNormal="145" workbookViewId="0">
      <selection activeCell="G27" sqref="G27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9.9140625" style="226" customWidth="1"/>
    <col min="12" max="253" width="8.58203125" style="226" customWidth="1"/>
    <col min="254" max="16384" width="8.58203125" style="226"/>
  </cols>
  <sheetData>
    <row r="1" spans="1:11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  <c r="K1" s="226" t="s">
        <v>682</v>
      </c>
    </row>
    <row r="2" spans="1:11">
      <c r="A2" s="213" t="s">
        <v>6</v>
      </c>
      <c r="B2" s="249">
        <v>5225</v>
      </c>
      <c r="C2" s="226"/>
      <c r="D2" s="6" t="s">
        <v>520</v>
      </c>
      <c r="E2" s="5">
        <v>80</v>
      </c>
      <c r="G2" s="228" t="s">
        <v>7</v>
      </c>
      <c r="H2" s="229">
        <v>-1117</v>
      </c>
      <c r="I2" s="230" t="s">
        <v>8</v>
      </c>
      <c r="J2" s="229"/>
      <c r="K2" s="226" t="s">
        <v>87</v>
      </c>
    </row>
    <row r="3" spans="1:11">
      <c r="A3" s="214" t="s">
        <v>9</v>
      </c>
      <c r="B3" s="192">
        <f>SUMIF(I2:I47,"Yes*",H2:H47)</f>
        <v>0</v>
      </c>
      <c r="C3" s="226"/>
      <c r="D3" s="24"/>
      <c r="E3" s="25"/>
      <c r="G3" s="228" t="s">
        <v>681</v>
      </c>
      <c r="H3" s="229">
        <v>-140</v>
      </c>
      <c r="I3" s="230" t="s">
        <v>8</v>
      </c>
      <c r="J3" s="229" t="s">
        <v>514</v>
      </c>
    </row>
    <row r="4" spans="1:11" outlineLevel="1">
      <c r="A4" s="213" t="s">
        <v>12</v>
      </c>
      <c r="B4" s="249">
        <v>5225</v>
      </c>
      <c r="C4" s="226"/>
      <c r="D4" s="24" t="s">
        <v>522</v>
      </c>
      <c r="E4" s="25">
        <v>110</v>
      </c>
      <c r="F4" s="231"/>
      <c r="G4" s="228" t="s">
        <v>14</v>
      </c>
      <c r="H4" s="229">
        <v>-39</v>
      </c>
      <c r="I4" s="230" t="s">
        <v>8</v>
      </c>
      <c r="J4" s="229"/>
      <c r="K4" s="226" t="s">
        <v>87</v>
      </c>
    </row>
    <row r="5" spans="1:11" ht="15" thickBot="1">
      <c r="A5" s="215" t="s">
        <v>15</v>
      </c>
      <c r="B5" s="200">
        <f>SUMIF(I2:I47,"No",H2:H47)</f>
        <v>-4627.67</v>
      </c>
      <c r="C5" s="226"/>
      <c r="D5" s="24" t="s">
        <v>526</v>
      </c>
      <c r="E5" s="25">
        <v>560</v>
      </c>
      <c r="G5" s="228" t="s">
        <v>17</v>
      </c>
      <c r="H5" s="229">
        <v>-39</v>
      </c>
      <c r="I5" s="230" t="s">
        <v>8</v>
      </c>
      <c r="J5" s="229"/>
      <c r="K5" s="226" t="s">
        <v>87</v>
      </c>
    </row>
    <row r="6" spans="1:11" ht="15" thickBot="1">
      <c r="A6" s="216" t="s">
        <v>18</v>
      </c>
      <c r="B6" s="29">
        <f>B5+B4</f>
        <v>597.32999999999993</v>
      </c>
      <c r="C6" s="226" t="s">
        <v>19</v>
      </c>
      <c r="D6" s="24"/>
      <c r="E6" s="25"/>
      <c r="G6" s="228" t="s">
        <v>21</v>
      </c>
      <c r="H6" s="229">
        <v>-17</v>
      </c>
      <c r="I6" s="230" t="s">
        <v>8</v>
      </c>
      <c r="J6" s="229"/>
      <c r="K6" s="226" t="s">
        <v>87</v>
      </c>
    </row>
    <row r="7" spans="1:11">
      <c r="A7" s="217" t="s">
        <v>504</v>
      </c>
      <c r="B7" s="201">
        <f>SUMIF(J2:J47,"f1",H2:H47)</f>
        <v>-2032.99</v>
      </c>
      <c r="C7" s="30"/>
      <c r="D7" s="24" t="s">
        <v>621</v>
      </c>
      <c r="E7" s="25"/>
      <c r="G7" s="228" t="s">
        <v>24</v>
      </c>
      <c r="H7" s="229">
        <v>-200</v>
      </c>
      <c r="I7" s="230" t="s">
        <v>8</v>
      </c>
      <c r="J7" s="229"/>
      <c r="K7" s="226" t="s">
        <v>87</v>
      </c>
    </row>
    <row r="8" spans="1:11">
      <c r="A8" s="218" t="s">
        <v>505</v>
      </c>
      <c r="B8" s="194">
        <f>SUMIF(J2:J47,"f2",H2:H47)</f>
        <v>-181</v>
      </c>
      <c r="C8" s="30"/>
      <c r="D8" s="24" t="s">
        <v>622</v>
      </c>
      <c r="E8" s="25"/>
      <c r="G8" s="228" t="s">
        <v>25</v>
      </c>
      <c r="H8" s="229">
        <v>-40</v>
      </c>
      <c r="I8" s="230" t="s">
        <v>8</v>
      </c>
      <c r="J8" s="229" t="s">
        <v>514</v>
      </c>
      <c r="K8" s="226" t="s">
        <v>87</v>
      </c>
    </row>
    <row r="9" spans="1:11">
      <c r="A9" s="218" t="s">
        <v>147</v>
      </c>
      <c r="B9" s="194">
        <f>SUMIF(J2:J47,"",H2:H47)</f>
        <v>-2233.6800000000003</v>
      </c>
      <c r="C9" s="226"/>
      <c r="D9" s="24"/>
      <c r="E9" s="25"/>
      <c r="G9" s="228" t="s">
        <v>27</v>
      </c>
      <c r="H9" s="229">
        <v>-20</v>
      </c>
      <c r="I9" s="230" t="s">
        <v>8</v>
      </c>
      <c r="J9" s="229"/>
    </row>
    <row r="10" spans="1:11" ht="15" thickBot="1">
      <c r="A10" s="218" t="s">
        <v>202</v>
      </c>
      <c r="B10" s="194">
        <f>SUMIF(J2:J47,"s",H2:H47)</f>
        <v>-180</v>
      </c>
      <c r="C10" s="226"/>
      <c r="D10" s="24" t="s">
        <v>618</v>
      </c>
      <c r="E10" s="25"/>
      <c r="G10" s="228" t="s">
        <v>575</v>
      </c>
      <c r="H10" s="229">
        <v>-55</v>
      </c>
      <c r="I10" s="230" t="s">
        <v>8</v>
      </c>
      <c r="J10" s="229"/>
    </row>
    <row r="11" spans="1:11" ht="15" thickBot="1">
      <c r="A11" s="232"/>
      <c r="C11" s="226"/>
      <c r="D11" s="26" t="s">
        <v>28</v>
      </c>
      <c r="E11" s="27">
        <f>SUM(E2:E10)</f>
        <v>750</v>
      </c>
      <c r="G11" s="228" t="s">
        <v>623</v>
      </c>
      <c r="H11" s="229">
        <v>-7.99</v>
      </c>
      <c r="I11" s="230" t="s">
        <v>8</v>
      </c>
      <c r="J11" s="229" t="s">
        <v>502</v>
      </c>
      <c r="K11" s="226" t="s">
        <v>87</v>
      </c>
    </row>
    <row r="12" spans="1:11" ht="15" thickBot="1">
      <c r="A12" s="233"/>
      <c r="B12" s="234"/>
      <c r="C12" s="226"/>
      <c r="D12" s="26"/>
      <c r="E12" s="27"/>
      <c r="G12" s="228" t="s">
        <v>128</v>
      </c>
      <c r="H12" s="235">
        <v>-8.99</v>
      </c>
      <c r="I12" s="230" t="s">
        <v>8</v>
      </c>
      <c r="J12" s="229"/>
    </row>
    <row r="13" spans="1:11" ht="15" thickBot="1">
      <c r="A13" s="27" t="s">
        <v>528</v>
      </c>
      <c r="B13" s="27">
        <v>10000</v>
      </c>
      <c r="C13" s="226"/>
      <c r="D13" s="26" t="s">
        <v>543</v>
      </c>
      <c r="E13" s="27">
        <v>4324</v>
      </c>
      <c r="G13" s="228" t="s">
        <v>33</v>
      </c>
      <c r="H13" s="229">
        <v>-239</v>
      </c>
      <c r="I13" s="230" t="s">
        <v>8</v>
      </c>
      <c r="J13" s="229"/>
      <c r="K13" s="226" t="s">
        <v>341</v>
      </c>
    </row>
    <row r="14" spans="1:11" ht="15" thickBot="1">
      <c r="A14" s="27" t="s">
        <v>501</v>
      </c>
      <c r="B14" s="27">
        <v>4324</v>
      </c>
      <c r="C14" s="226"/>
      <c r="D14" s="26" t="s">
        <v>580</v>
      </c>
      <c r="E14" s="27"/>
      <c r="G14" s="228" t="s">
        <v>34</v>
      </c>
      <c r="H14" s="229">
        <v>-26</v>
      </c>
      <c r="I14" s="230" t="s">
        <v>8</v>
      </c>
      <c r="J14" s="229"/>
      <c r="K14" s="226" t="s">
        <v>341</v>
      </c>
    </row>
    <row r="15" spans="1:11" ht="15" thickBot="1">
      <c r="A15" s="27" t="s">
        <v>529</v>
      </c>
      <c r="B15" s="27"/>
      <c r="C15" s="226"/>
      <c r="D15" s="26"/>
      <c r="E15" s="27"/>
      <c r="G15" s="228" t="s">
        <v>470</v>
      </c>
      <c r="H15" s="229">
        <v>-10</v>
      </c>
      <c r="I15" s="230" t="s">
        <v>8</v>
      </c>
      <c r="J15" s="229"/>
    </row>
    <row r="16" spans="1:11" ht="15" thickBot="1">
      <c r="A16" s="27" t="s">
        <v>530</v>
      </c>
      <c r="B16" s="246">
        <f>B14/B13</f>
        <v>0.43240000000000001</v>
      </c>
      <c r="C16" s="226"/>
      <c r="D16" s="26"/>
      <c r="E16" s="27"/>
      <c r="G16" s="228" t="s">
        <v>34</v>
      </c>
      <c r="H16" s="229">
        <v>-58</v>
      </c>
      <c r="I16" s="230" t="s">
        <v>8</v>
      </c>
      <c r="J16" s="229"/>
      <c r="K16" s="226" t="s">
        <v>341</v>
      </c>
    </row>
    <row r="17" spans="1:11">
      <c r="A17" s="211"/>
      <c r="B17" s="236"/>
      <c r="C17" s="226"/>
      <c r="G17" s="228" t="s">
        <v>39</v>
      </c>
      <c r="H17" s="229">
        <v>-1.5</v>
      </c>
      <c r="I17" s="230" t="s">
        <v>8</v>
      </c>
      <c r="J17" s="229"/>
    </row>
    <row r="18" spans="1:11">
      <c r="A18" s="237" t="s">
        <v>7</v>
      </c>
      <c r="C18" s="226"/>
      <c r="D18" s="226" t="s">
        <v>116</v>
      </c>
      <c r="G18" s="228" t="s">
        <v>479</v>
      </c>
      <c r="H18" s="229">
        <v>-5</v>
      </c>
      <c r="I18" s="230" t="s">
        <v>8</v>
      </c>
      <c r="J18" s="229"/>
    </row>
    <row r="19" spans="1:11">
      <c r="A19" s="219" t="s">
        <v>35</v>
      </c>
      <c r="B19" s="202">
        <v>151455.79</v>
      </c>
      <c r="C19" s="226"/>
      <c r="G19" s="228" t="s">
        <v>68</v>
      </c>
      <c r="H19" s="229">
        <v>-800</v>
      </c>
      <c r="I19" s="230" t="s">
        <v>8</v>
      </c>
      <c r="J19" s="229" t="s">
        <v>502</v>
      </c>
      <c r="K19" s="226" t="s">
        <v>341</v>
      </c>
    </row>
    <row r="20" spans="1:11" ht="15" thickBot="1">
      <c r="A20" s="220" t="s">
        <v>37</v>
      </c>
      <c r="B20" s="203">
        <v>80139.8</v>
      </c>
      <c r="C20" s="226"/>
      <c r="G20" s="228" t="s">
        <v>70</v>
      </c>
      <c r="H20" s="229">
        <v>-28</v>
      </c>
      <c r="I20" s="230" t="s">
        <v>8</v>
      </c>
      <c r="J20" s="229" t="s">
        <v>503</v>
      </c>
      <c r="K20" s="226" t="s">
        <v>341</v>
      </c>
    </row>
    <row r="21" spans="1:11" ht="15" thickBot="1">
      <c r="A21" s="221" t="s">
        <v>38</v>
      </c>
      <c r="B21" s="204">
        <f>SUM(B19:B20)</f>
        <v>231595.59000000003</v>
      </c>
      <c r="C21" s="226"/>
      <c r="G21" s="228" t="s">
        <v>404</v>
      </c>
      <c r="H21" s="229">
        <v>-14.99</v>
      </c>
      <c r="I21" s="230" t="s">
        <v>8</v>
      </c>
      <c r="J21" s="229"/>
      <c r="K21" s="226" t="s">
        <v>341</v>
      </c>
    </row>
    <row r="22" spans="1:11" ht="15" thickBot="1">
      <c r="A22" s="222" t="s">
        <v>40</v>
      </c>
      <c r="B22" s="205">
        <f>B23*0.2</f>
        <v>92000</v>
      </c>
      <c r="C22" s="226"/>
      <c r="D22" s="226" t="s">
        <v>73</v>
      </c>
      <c r="G22" s="228" t="s">
        <v>49</v>
      </c>
      <c r="H22" s="229">
        <v>-930</v>
      </c>
      <c r="I22" s="230" t="s">
        <v>8</v>
      </c>
      <c r="J22" s="229" t="s">
        <v>502</v>
      </c>
      <c r="K22" s="226" t="s">
        <v>341</v>
      </c>
    </row>
    <row r="23" spans="1:11">
      <c r="A23" s="238" t="s">
        <v>43</v>
      </c>
      <c r="B23" s="248">
        <v>460000</v>
      </c>
      <c r="C23" s="226"/>
      <c r="G23" s="228" t="s">
        <v>133</v>
      </c>
      <c r="H23" s="229"/>
      <c r="I23" s="230" t="s">
        <v>8</v>
      </c>
      <c r="J23" s="229"/>
    </row>
    <row r="24" spans="1:11">
      <c r="A24" s="240" t="s">
        <v>46</v>
      </c>
      <c r="B24" s="247">
        <f>B23-SUM(B21:B22)</f>
        <v>136404.40999999997</v>
      </c>
      <c r="G24" s="228" t="s">
        <v>111</v>
      </c>
      <c r="H24" s="229">
        <v>-70</v>
      </c>
      <c r="I24" s="230" t="s">
        <v>8</v>
      </c>
      <c r="J24" s="229" t="s">
        <v>502</v>
      </c>
    </row>
    <row r="25" spans="1:11">
      <c r="G25" s="228" t="s">
        <v>62</v>
      </c>
      <c r="H25" s="229">
        <v>-20</v>
      </c>
      <c r="I25" s="230" t="s">
        <v>8</v>
      </c>
      <c r="J25" s="229"/>
    </row>
    <row r="26" spans="1:11">
      <c r="G26" s="228" t="s">
        <v>55</v>
      </c>
      <c r="H26" s="229">
        <v>-27.7</v>
      </c>
      <c r="I26" s="230" t="s">
        <v>8</v>
      </c>
      <c r="J26" s="229"/>
      <c r="K26" s="226" t="s">
        <v>341</v>
      </c>
    </row>
    <row r="27" spans="1:11">
      <c r="G27" s="228" t="s">
        <v>56</v>
      </c>
      <c r="H27" s="229">
        <v>-90</v>
      </c>
      <c r="I27" s="230" t="s">
        <v>8</v>
      </c>
      <c r="J27" s="229" t="s">
        <v>502</v>
      </c>
    </row>
    <row r="28" spans="1:11">
      <c r="G28" s="228" t="s">
        <v>78</v>
      </c>
      <c r="H28" s="229">
        <v>-18</v>
      </c>
      <c r="I28" s="230" t="s">
        <v>8</v>
      </c>
      <c r="J28" s="229"/>
      <c r="K28" s="242"/>
    </row>
    <row r="29" spans="1:11">
      <c r="G29" s="244" t="s">
        <v>600</v>
      </c>
      <c r="H29" s="229">
        <v>-133</v>
      </c>
      <c r="I29" s="230" t="s">
        <v>8</v>
      </c>
      <c r="J29" s="229" t="s">
        <v>503</v>
      </c>
    </row>
    <row r="30" spans="1:11">
      <c r="A30" s="31" t="s">
        <v>509</v>
      </c>
      <c r="G30" s="228" t="s">
        <v>79</v>
      </c>
      <c r="H30" s="229">
        <v>-14.5</v>
      </c>
      <c r="I30" s="230" t="s">
        <v>8</v>
      </c>
      <c r="J30" s="229"/>
    </row>
    <row r="31" spans="1:11" ht="15.5">
      <c r="A31" s="243">
        <v>1104841580</v>
      </c>
      <c r="F31" s="30"/>
      <c r="G31" s="228" t="s">
        <v>80</v>
      </c>
      <c r="H31" s="229">
        <v>-35</v>
      </c>
      <c r="I31" s="230" t="s">
        <v>8</v>
      </c>
      <c r="J31" s="229" t="s">
        <v>502</v>
      </c>
    </row>
    <row r="32" spans="1:11">
      <c r="F32" s="30"/>
      <c r="G32" s="228" t="s">
        <v>144</v>
      </c>
      <c r="H32" s="229">
        <v>-60</v>
      </c>
      <c r="I32" s="230" t="s">
        <v>8</v>
      </c>
      <c r="J32" s="229"/>
    </row>
    <row r="33" spans="6:10">
      <c r="F33" s="30"/>
      <c r="G33" s="228" t="s">
        <v>573</v>
      </c>
      <c r="H33" s="229">
        <v>-25</v>
      </c>
      <c r="I33" s="230" t="s">
        <v>8</v>
      </c>
      <c r="J33" s="244"/>
    </row>
    <row r="34" spans="6:10">
      <c r="F34" s="30"/>
      <c r="G34" s="228" t="s">
        <v>84</v>
      </c>
      <c r="H34" s="229">
        <v>-130</v>
      </c>
      <c r="I34" s="230" t="s">
        <v>8</v>
      </c>
      <c r="J34" s="244"/>
    </row>
    <row r="35" spans="6:10">
      <c r="F35" s="30"/>
      <c r="G35" s="244" t="s">
        <v>636</v>
      </c>
      <c r="H35" s="229">
        <v>-20</v>
      </c>
      <c r="I35" s="230" t="s">
        <v>8</v>
      </c>
      <c r="J35" s="244" t="s">
        <v>503</v>
      </c>
    </row>
    <row r="36" spans="6:10">
      <c r="F36" s="30"/>
      <c r="G36" s="244" t="s">
        <v>626</v>
      </c>
      <c r="H36" s="229">
        <v>-100</v>
      </c>
      <c r="I36" s="230" t="s">
        <v>8</v>
      </c>
      <c r="J36" s="244" t="s">
        <v>502</v>
      </c>
    </row>
    <row r="37" spans="6:10">
      <c r="F37" s="30"/>
      <c r="G37" s="244" t="s">
        <v>651</v>
      </c>
      <c r="H37" s="229">
        <v>-50</v>
      </c>
      <c r="I37" s="230" t="s">
        <v>8</v>
      </c>
      <c r="J37" s="244"/>
    </row>
    <row r="38" spans="6:10">
      <c r="F38" s="30"/>
      <c r="G38" s="244" t="s">
        <v>609</v>
      </c>
      <c r="H38" s="229">
        <v>-8</v>
      </c>
      <c r="I38" s="230" t="s">
        <v>8</v>
      </c>
      <c r="J38" s="244"/>
    </row>
    <row r="39" spans="6:10">
      <c r="F39" s="30"/>
      <c r="G39" s="244"/>
      <c r="H39" s="229"/>
      <c r="I39" s="230" t="s">
        <v>8</v>
      </c>
      <c r="J39" s="244"/>
    </row>
    <row r="40" spans="6:10">
      <c r="F40" s="30"/>
      <c r="G40" s="244" t="s">
        <v>57</v>
      </c>
      <c r="H40" s="229">
        <v>-30</v>
      </c>
      <c r="I40" s="230" t="s">
        <v>8</v>
      </c>
      <c r="J40" s="244"/>
    </row>
    <row r="41" spans="6:10">
      <c r="F41" s="30"/>
      <c r="I41" s="230" t="s">
        <v>8</v>
      </c>
      <c r="J41" s="244"/>
    </row>
    <row r="42" spans="6:10">
      <c r="F42" s="30"/>
      <c r="I42" s="230" t="s">
        <v>8</v>
      </c>
      <c r="J42" s="244"/>
    </row>
    <row r="43" spans="6:10">
      <c r="F43" s="30"/>
      <c r="G43" s="244"/>
      <c r="H43" s="229"/>
      <c r="I43" s="230" t="s">
        <v>8</v>
      </c>
      <c r="J43" s="244"/>
    </row>
    <row r="44" spans="6:10">
      <c r="F44" s="30"/>
      <c r="G44" s="244"/>
      <c r="H44" s="229"/>
      <c r="I44" s="230" t="s">
        <v>8</v>
      </c>
      <c r="J44" s="244"/>
    </row>
    <row r="45" spans="6:10">
      <c r="F45" s="30"/>
      <c r="G45" s="244"/>
      <c r="H45" s="229"/>
      <c r="I45" s="230" t="s">
        <v>8</v>
      </c>
      <c r="J45" s="244"/>
    </row>
    <row r="46" spans="6:10">
      <c r="F46" s="30"/>
      <c r="G46" s="244"/>
      <c r="H46" s="229"/>
      <c r="I46" s="230" t="s">
        <v>8</v>
      </c>
      <c r="J46" s="244"/>
    </row>
    <row r="47" spans="6:10">
      <c r="G47" s="244"/>
      <c r="H47" s="229"/>
      <c r="I47" s="230" t="s">
        <v>8</v>
      </c>
      <c r="J47" s="244"/>
    </row>
  </sheetData>
  <conditionalFormatting sqref="H43:H47">
    <cfRule type="expression" dxfId="198" priority="5">
      <formula>#REF!</formula>
    </cfRule>
  </conditionalFormatting>
  <conditionalFormatting sqref="I2:I47">
    <cfRule type="containsText" dxfId="197" priority="8" operator="containsText" text="No">
      <formula>NOT(ISERROR(SEARCH("No",I2)))</formula>
    </cfRule>
    <cfRule type="containsText" dxfId="196" priority="9" operator="containsText" text="yes">
      <formula>NOT(ISERROR(SEARCH("yes",I2)))</formula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95" priority="14">
      <formula>#REF!</formula>
    </cfRule>
  </conditionalFormatting>
  <conditionalFormatting sqref="I38:I4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94" priority="11">
      <formula>#REF!</formula>
    </cfRule>
  </conditionalFormatting>
  <conditionalFormatting sqref="J2:J31">
    <cfRule type="expression" dxfId="193" priority="12">
      <formula>#REF!</formula>
    </cfRule>
  </conditionalFormatting>
  <conditionalFormatting sqref="J2:J3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{71D969BC-4A4C-415D-993E-218E03CA55C8}</x14:id>
        </ext>
      </extLst>
    </cfRule>
  </conditionalFormatting>
  <conditionalFormatting sqref="J38:J4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{38515C7D-3B61-4F6E-B01A-67C727C087E5}</x14:id>
        </ext>
      </extLst>
    </cfRule>
  </conditionalFormatting>
  <conditionalFormatting sqref="G2:H11 G12 G13:H31 G33:H34">
    <cfRule type="expression" dxfId="192" priority="2">
      <formula>#REF!</formula>
    </cfRule>
  </conditionalFormatting>
  <conditionalFormatting sqref="H29 H35:H40">
    <cfRule type="expression" dxfId="191" priority="1">
      <formula>#REF!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D969BC-4A4C-415D-993E-218E03CA5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38515C7D-3B61-4F6E-B01A-67C727C087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4E1D-A55B-45F0-B97D-27904E7679BF}">
  <dimension ref="A1:L47"/>
  <sheetViews>
    <sheetView zoomScale="145" zoomScaleNormal="145" workbookViewId="0">
      <selection activeCell="B13" sqref="B13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10.08203125" bestFit="1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  <c r="K1" s="227" t="s">
        <v>534</v>
      </c>
    </row>
    <row r="2" spans="1:11">
      <c r="A2" s="213" t="s">
        <v>6</v>
      </c>
      <c r="B2" s="249">
        <v>5176.0600000000004</v>
      </c>
      <c r="C2" s="226"/>
      <c r="D2" s="7"/>
      <c r="E2" s="4"/>
      <c r="G2" s="228" t="s">
        <v>7</v>
      </c>
      <c r="H2" s="229">
        <v>-1268.67</v>
      </c>
      <c r="I2" s="230" t="s">
        <v>87</v>
      </c>
      <c r="J2" s="229"/>
      <c r="K2" s="229" t="s">
        <v>535</v>
      </c>
    </row>
    <row r="3" spans="1:11">
      <c r="A3" s="214" t="s">
        <v>9</v>
      </c>
      <c r="B3" s="192">
        <f>SUMIF(I2:I47,"Yes*",H2:H47)</f>
        <v>-5152.25</v>
      </c>
      <c r="C3" s="226"/>
      <c r="D3" s="6" t="s">
        <v>520</v>
      </c>
      <c r="E3" s="5">
        <v>50</v>
      </c>
      <c r="G3" s="228" t="s">
        <v>111</v>
      </c>
      <c r="H3" s="229">
        <v>-210</v>
      </c>
      <c r="I3" s="230" t="s">
        <v>87</v>
      </c>
      <c r="J3" s="229" t="s">
        <v>514</v>
      </c>
      <c r="K3" s="229" t="s">
        <v>202</v>
      </c>
    </row>
    <row r="4" spans="1:11" outlineLevel="1">
      <c r="A4" s="213" t="s">
        <v>12</v>
      </c>
      <c r="B4" s="249">
        <v>19.45</v>
      </c>
      <c r="C4" s="226"/>
      <c r="D4" s="24" t="s">
        <v>560</v>
      </c>
      <c r="E4" s="25">
        <v>100</v>
      </c>
      <c r="F4" s="231"/>
      <c r="G4" s="228" t="s">
        <v>14</v>
      </c>
      <c r="H4" s="229">
        <v>-37</v>
      </c>
      <c r="I4" s="230" t="s">
        <v>87</v>
      </c>
      <c r="J4" s="229"/>
      <c r="K4" s="229" t="s">
        <v>536</v>
      </c>
    </row>
    <row r="5" spans="1:11" ht="15" thickBot="1">
      <c r="A5" s="215" t="s">
        <v>15</v>
      </c>
      <c r="B5" s="200">
        <f>SUMIF(I2:I47,"No",H2:H47)</f>
        <v>-16</v>
      </c>
      <c r="C5" s="226"/>
      <c r="D5" s="24" t="s">
        <v>522</v>
      </c>
      <c r="E5" s="25">
        <v>100</v>
      </c>
      <c r="G5" s="228" t="s">
        <v>17</v>
      </c>
      <c r="H5" s="229">
        <v>-39</v>
      </c>
      <c r="I5" s="230" t="s">
        <v>87</v>
      </c>
      <c r="J5" s="229"/>
      <c r="K5" s="229" t="s">
        <v>536</v>
      </c>
    </row>
    <row r="6" spans="1:11" ht="15" thickBot="1">
      <c r="A6" s="216" t="s">
        <v>18</v>
      </c>
      <c r="B6" s="29">
        <f>B5+B4</f>
        <v>3.4499999999999993</v>
      </c>
      <c r="C6" s="226" t="s">
        <v>19</v>
      </c>
      <c r="D6" s="24" t="s">
        <v>526</v>
      </c>
      <c r="E6" s="25">
        <v>580</v>
      </c>
      <c r="G6" s="228" t="s">
        <v>21</v>
      </c>
      <c r="H6" s="229">
        <v>-15</v>
      </c>
      <c r="I6" s="230" t="s">
        <v>87</v>
      </c>
      <c r="J6" s="229"/>
      <c r="K6" s="229" t="s">
        <v>537</v>
      </c>
    </row>
    <row r="7" spans="1:11">
      <c r="A7" s="217" t="s">
        <v>504</v>
      </c>
      <c r="B7" s="201">
        <f>SUMIF(J2:J47,"f1",H2:H47)</f>
        <v>-2400</v>
      </c>
      <c r="C7" s="30"/>
      <c r="D7" s="24" t="s">
        <v>572</v>
      </c>
      <c r="E7" s="25">
        <v>370</v>
      </c>
      <c r="G7" s="228" t="s">
        <v>24</v>
      </c>
      <c r="H7" s="229">
        <v>-155</v>
      </c>
      <c r="I7" s="230" t="s">
        <v>87</v>
      </c>
      <c r="J7" s="229"/>
      <c r="K7" s="229" t="s">
        <v>537</v>
      </c>
    </row>
    <row r="8" spans="1:11">
      <c r="A8" s="218" t="s">
        <v>505</v>
      </c>
      <c r="B8" s="194">
        <f>SUMIF(J2:J47,"f2",H2:H47)</f>
        <v>-171</v>
      </c>
      <c r="C8" s="30"/>
      <c r="D8" s="24" t="s">
        <v>74</v>
      </c>
      <c r="E8" s="25"/>
      <c r="G8" s="228" t="s">
        <v>25</v>
      </c>
      <c r="H8" s="229">
        <v>-50</v>
      </c>
      <c r="I8" s="230" t="s">
        <v>87</v>
      </c>
      <c r="J8" s="229" t="s">
        <v>514</v>
      </c>
      <c r="K8" s="229" t="s">
        <v>536</v>
      </c>
    </row>
    <row r="9" spans="1:11">
      <c r="A9" s="218" t="s">
        <v>147</v>
      </c>
      <c r="B9" s="194">
        <f>SUMIF(J2:J47,"",H2:H47)</f>
        <v>-2287.25</v>
      </c>
      <c r="C9" s="226"/>
      <c r="D9" s="24" t="s">
        <v>525</v>
      </c>
      <c r="E9" s="25"/>
      <c r="G9" s="228" t="s">
        <v>27</v>
      </c>
      <c r="H9" s="229">
        <v>-20</v>
      </c>
      <c r="I9" s="230" t="s">
        <v>87</v>
      </c>
      <c r="J9" s="229"/>
      <c r="K9" s="229" t="s">
        <v>538</v>
      </c>
    </row>
    <row r="10" spans="1:11" ht="15" thickBot="1">
      <c r="A10" s="218" t="s">
        <v>202</v>
      </c>
      <c r="B10" s="194">
        <f>SUMIF(J2:J47,"s",H2:H47)</f>
        <v>-310</v>
      </c>
      <c r="C10" s="226"/>
      <c r="D10" s="24" t="s">
        <v>554</v>
      </c>
      <c r="E10" s="25"/>
      <c r="G10" s="228" t="s">
        <v>575</v>
      </c>
      <c r="H10" s="229">
        <v>-30</v>
      </c>
      <c r="I10" s="230" t="s">
        <v>87</v>
      </c>
      <c r="J10" s="229" t="s">
        <v>503</v>
      </c>
      <c r="K10" s="229" t="s">
        <v>202</v>
      </c>
    </row>
    <row r="11" spans="1:11" ht="15" thickBot="1">
      <c r="A11" s="232"/>
      <c r="C11" s="226"/>
      <c r="D11" s="26" t="s">
        <v>28</v>
      </c>
      <c r="E11" s="27">
        <f>SUM(E2:E10)</f>
        <v>1200</v>
      </c>
      <c r="G11" s="228" t="s">
        <v>30</v>
      </c>
      <c r="H11" s="229">
        <v>-4.99</v>
      </c>
      <c r="I11" s="230" t="s">
        <v>87</v>
      </c>
      <c r="J11" s="229"/>
      <c r="K11" s="229" t="s">
        <v>538</v>
      </c>
    </row>
    <row r="12" spans="1:11" ht="15" thickBot="1">
      <c r="A12" s="233"/>
      <c r="B12" s="234"/>
      <c r="C12" s="226"/>
      <c r="D12" s="26" t="s">
        <v>501</v>
      </c>
      <c r="E12" s="27"/>
      <c r="G12" s="228" t="s">
        <v>576</v>
      </c>
      <c r="H12" s="235">
        <v>-38</v>
      </c>
      <c r="I12" s="230" t="s">
        <v>87</v>
      </c>
      <c r="J12" s="229"/>
      <c r="K12" s="229" t="s">
        <v>538</v>
      </c>
    </row>
    <row r="13" spans="1:11" ht="15" thickBot="1">
      <c r="A13" s="27" t="s">
        <v>528</v>
      </c>
      <c r="B13" s="27">
        <v>12000</v>
      </c>
      <c r="C13" s="226"/>
      <c r="D13" s="26" t="s">
        <v>543</v>
      </c>
      <c r="E13" s="27">
        <v>5135.7</v>
      </c>
      <c r="G13" s="228" t="s">
        <v>33</v>
      </c>
      <c r="H13" s="229">
        <v>-225</v>
      </c>
      <c r="I13" s="230" t="s">
        <v>87</v>
      </c>
      <c r="J13" s="229"/>
      <c r="K13" s="229" t="s">
        <v>537</v>
      </c>
    </row>
    <row r="14" spans="1:11" ht="15" thickBot="1">
      <c r="A14" s="27" t="s">
        <v>501</v>
      </c>
      <c r="B14" s="27">
        <f>E12+E13</f>
        <v>5135.7</v>
      </c>
      <c r="C14" s="226"/>
      <c r="D14" s="26" t="s">
        <v>559</v>
      </c>
      <c r="E14" s="27">
        <v>1453</v>
      </c>
      <c r="G14" s="228" t="s">
        <v>34</v>
      </c>
      <c r="H14" s="229">
        <v>-13</v>
      </c>
      <c r="I14" s="230" t="s">
        <v>87</v>
      </c>
      <c r="J14" s="229"/>
      <c r="K14" s="229" t="s">
        <v>537</v>
      </c>
    </row>
    <row r="15" spans="1:11" ht="15" thickBot="1">
      <c r="A15" s="27" t="s">
        <v>529</v>
      </c>
      <c r="B15" s="27">
        <f>B13-B14</f>
        <v>6864.3</v>
      </c>
      <c r="C15" s="226"/>
      <c r="D15" s="26" t="s">
        <v>551</v>
      </c>
      <c r="E15" s="27"/>
      <c r="G15" s="228" t="s">
        <v>470</v>
      </c>
      <c r="H15" s="229"/>
      <c r="I15" s="230" t="s">
        <v>8</v>
      </c>
      <c r="J15" s="229"/>
      <c r="K15" s="229" t="s">
        <v>537</v>
      </c>
    </row>
    <row r="16" spans="1:11" ht="15" thickBot="1">
      <c r="A16" s="27" t="s">
        <v>530</v>
      </c>
      <c r="B16" s="246">
        <f>B14/B13</f>
        <v>0.42797499999999999</v>
      </c>
      <c r="C16" s="226"/>
      <c r="D16" s="26" t="s">
        <v>579</v>
      </c>
      <c r="E16" s="27">
        <v>445</v>
      </c>
      <c r="G16" s="228" t="s">
        <v>34</v>
      </c>
      <c r="H16" s="229">
        <v>-31.5</v>
      </c>
      <c r="I16" s="230" t="s">
        <v>87</v>
      </c>
      <c r="J16" s="229"/>
      <c r="K16" s="229" t="s">
        <v>537</v>
      </c>
    </row>
    <row r="17" spans="1:12">
      <c r="A17" s="211"/>
      <c r="B17" s="236"/>
      <c r="C17" s="226"/>
      <c r="G17" s="228" t="s">
        <v>39</v>
      </c>
      <c r="H17" s="229">
        <v>-1.5</v>
      </c>
      <c r="I17" s="230" t="s">
        <v>87</v>
      </c>
      <c r="J17" s="229"/>
      <c r="K17" s="229" t="s">
        <v>538</v>
      </c>
    </row>
    <row r="18" spans="1:12">
      <c r="A18" s="237" t="s">
        <v>7</v>
      </c>
      <c r="C18" s="226"/>
      <c r="D18" s="226" t="s">
        <v>116</v>
      </c>
      <c r="G18" s="228" t="s">
        <v>479</v>
      </c>
      <c r="H18" s="229">
        <v>-5</v>
      </c>
      <c r="I18" s="230" t="s">
        <v>8</v>
      </c>
      <c r="J18" s="229"/>
      <c r="K18" s="229" t="s">
        <v>536</v>
      </c>
    </row>
    <row r="19" spans="1:12">
      <c r="A19" s="219" t="s">
        <v>35</v>
      </c>
      <c r="B19" s="202">
        <v>152053.12</v>
      </c>
      <c r="C19" s="226"/>
      <c r="G19" s="228" t="s">
        <v>68</v>
      </c>
      <c r="H19" s="229">
        <v>-1000</v>
      </c>
      <c r="I19" s="230" t="s">
        <v>87</v>
      </c>
      <c r="J19" s="229" t="s">
        <v>502</v>
      </c>
      <c r="K19" s="229" t="s">
        <v>22</v>
      </c>
    </row>
    <row r="20" spans="1:12" ht="15" thickBot="1">
      <c r="A20" s="220" t="s">
        <v>37</v>
      </c>
      <c r="B20" s="203">
        <v>80455.88</v>
      </c>
      <c r="C20" s="226"/>
      <c r="G20" s="228" t="s">
        <v>70</v>
      </c>
      <c r="H20" s="229">
        <v>-28</v>
      </c>
      <c r="I20" s="230" t="s">
        <v>87</v>
      </c>
      <c r="J20" s="229" t="s">
        <v>503</v>
      </c>
      <c r="K20" s="229" t="s">
        <v>539</v>
      </c>
    </row>
    <row r="21" spans="1:12" ht="15" thickBot="1">
      <c r="A21" s="221" t="s">
        <v>38</v>
      </c>
      <c r="B21" s="204">
        <f>SUM(B19:B20)</f>
        <v>232509</v>
      </c>
      <c r="C21" s="226"/>
      <c r="G21" s="228" t="s">
        <v>552</v>
      </c>
      <c r="H21" s="229">
        <v>-40</v>
      </c>
      <c r="I21" s="230" t="s">
        <v>87</v>
      </c>
      <c r="J21" s="229" t="s">
        <v>502</v>
      </c>
      <c r="K21" s="229" t="s">
        <v>22</v>
      </c>
    </row>
    <row r="22" spans="1:12" ht="15" thickBot="1">
      <c r="A22" s="222" t="s">
        <v>40</v>
      </c>
      <c r="B22" s="205">
        <f>B23*0.2</f>
        <v>90000</v>
      </c>
      <c r="C22" s="226"/>
      <c r="D22" s="226" t="s">
        <v>73</v>
      </c>
      <c r="G22" s="228" t="s">
        <v>49</v>
      </c>
      <c r="H22" s="229">
        <v>-1100</v>
      </c>
      <c r="I22" s="230" t="s">
        <v>87</v>
      </c>
      <c r="J22" s="229" t="s">
        <v>502</v>
      </c>
      <c r="K22" s="229" t="s">
        <v>540</v>
      </c>
    </row>
    <row r="23" spans="1:12">
      <c r="A23" s="238" t="s">
        <v>43</v>
      </c>
      <c r="B23" s="248">
        <v>450000</v>
      </c>
      <c r="C23" s="226"/>
      <c r="G23" s="228" t="s">
        <v>74</v>
      </c>
      <c r="H23" s="229">
        <v>-11</v>
      </c>
      <c r="I23" s="230" t="s">
        <v>8</v>
      </c>
      <c r="J23" s="229"/>
      <c r="K23" s="229" t="s">
        <v>539</v>
      </c>
    </row>
    <row r="24" spans="1:12">
      <c r="A24" s="240" t="s">
        <v>46</v>
      </c>
      <c r="B24" s="247">
        <f>B23-SUM(B21:B22)</f>
        <v>127491</v>
      </c>
      <c r="G24" s="228" t="s">
        <v>52</v>
      </c>
      <c r="H24" s="229">
        <v>-7.6</v>
      </c>
      <c r="I24" s="230" t="s">
        <v>87</v>
      </c>
      <c r="J24" s="229"/>
      <c r="K24" s="229" t="s">
        <v>537</v>
      </c>
    </row>
    <row r="25" spans="1:12">
      <c r="G25" s="228" t="s">
        <v>578</v>
      </c>
      <c r="H25" s="229">
        <v>-30</v>
      </c>
      <c r="I25" s="230" t="s">
        <v>87</v>
      </c>
      <c r="J25" s="229" t="s">
        <v>514</v>
      </c>
      <c r="K25" s="229" t="s">
        <v>202</v>
      </c>
    </row>
    <row r="26" spans="1:12">
      <c r="G26" s="228" t="s">
        <v>55</v>
      </c>
      <c r="H26" s="229">
        <v>-31</v>
      </c>
      <c r="I26" s="230" t="s">
        <v>87</v>
      </c>
      <c r="J26" s="229"/>
      <c r="K26" s="229" t="s">
        <v>536</v>
      </c>
    </row>
    <row r="27" spans="1:12">
      <c r="G27" s="228" t="s">
        <v>56</v>
      </c>
      <c r="H27" s="229">
        <v>-80</v>
      </c>
      <c r="I27" s="230" t="s">
        <v>87</v>
      </c>
      <c r="J27" s="229" t="s">
        <v>502</v>
      </c>
      <c r="K27" s="229" t="s">
        <v>22</v>
      </c>
    </row>
    <row r="28" spans="1:12">
      <c r="G28" s="228" t="s">
        <v>78</v>
      </c>
      <c r="H28" s="229">
        <v>-18</v>
      </c>
      <c r="I28" s="230" t="s">
        <v>87</v>
      </c>
      <c r="J28" s="229"/>
      <c r="K28" s="229" t="s">
        <v>537</v>
      </c>
      <c r="L28" s="242"/>
    </row>
    <row r="29" spans="1:12">
      <c r="G29" s="228" t="s">
        <v>57</v>
      </c>
      <c r="H29" s="229">
        <v>-33</v>
      </c>
      <c r="I29" s="230" t="s">
        <v>87</v>
      </c>
      <c r="J29" s="229" t="s">
        <v>503</v>
      </c>
      <c r="K29" s="229" t="s">
        <v>22</v>
      </c>
    </row>
    <row r="30" spans="1:12">
      <c r="A30" s="31" t="s">
        <v>509</v>
      </c>
      <c r="G30" s="228" t="s">
        <v>79</v>
      </c>
      <c r="H30" s="229">
        <v>-12</v>
      </c>
      <c r="I30" s="230" t="s">
        <v>87</v>
      </c>
      <c r="J30" s="229"/>
      <c r="K30" s="229" t="s">
        <v>537</v>
      </c>
    </row>
    <row r="31" spans="1:12" ht="15.5">
      <c r="A31" s="243">
        <v>1104841580</v>
      </c>
      <c r="F31" s="30"/>
      <c r="G31" s="228" t="s">
        <v>80</v>
      </c>
      <c r="H31" s="229">
        <v>-33</v>
      </c>
      <c r="I31" s="230" t="s">
        <v>87</v>
      </c>
      <c r="J31" s="229"/>
      <c r="K31" s="229" t="s">
        <v>202</v>
      </c>
    </row>
    <row r="32" spans="1:12">
      <c r="F32" s="30"/>
      <c r="G32" s="228" t="s">
        <v>144</v>
      </c>
      <c r="H32" s="229">
        <v>-50</v>
      </c>
      <c r="I32" s="230" t="s">
        <v>87</v>
      </c>
      <c r="J32" s="229"/>
      <c r="K32" s="229" t="s">
        <v>541</v>
      </c>
    </row>
    <row r="33" spans="6:11">
      <c r="F33" s="30"/>
      <c r="G33" s="228" t="s">
        <v>573</v>
      </c>
      <c r="H33" s="229">
        <v>-20</v>
      </c>
      <c r="I33" s="230" t="s">
        <v>87</v>
      </c>
      <c r="J33" s="244" t="s">
        <v>514</v>
      </c>
      <c r="K33" s="229" t="s">
        <v>542</v>
      </c>
    </row>
    <row r="34" spans="6:11">
      <c r="F34" s="30"/>
      <c r="G34" s="228" t="s">
        <v>84</v>
      </c>
      <c r="H34" s="229">
        <v>-127</v>
      </c>
      <c r="I34" s="230" t="s">
        <v>87</v>
      </c>
      <c r="J34" s="244"/>
      <c r="K34" s="229" t="s">
        <v>535</v>
      </c>
    </row>
    <row r="35" spans="6:11">
      <c r="F35" s="30"/>
      <c r="G35" s="244" t="s">
        <v>568</v>
      </c>
      <c r="H35" s="229">
        <v>-180</v>
      </c>
      <c r="I35" s="230" t="s">
        <v>87</v>
      </c>
      <c r="J35" s="244" t="s">
        <v>502</v>
      </c>
      <c r="K35" s="229" t="s">
        <v>202</v>
      </c>
    </row>
    <row r="36" spans="6:11">
      <c r="F36" s="30"/>
      <c r="G36" s="244" t="s">
        <v>464</v>
      </c>
      <c r="H36" s="229">
        <v>-27</v>
      </c>
      <c r="I36" s="230" t="s">
        <v>87</v>
      </c>
      <c r="J36" s="244"/>
      <c r="K36" s="229" t="s">
        <v>22</v>
      </c>
    </row>
    <row r="37" spans="6:11">
      <c r="F37" s="30"/>
      <c r="G37" s="244" t="s">
        <v>570</v>
      </c>
      <c r="H37" s="229">
        <v>-80</v>
      </c>
      <c r="I37" s="230" t="s">
        <v>87</v>
      </c>
      <c r="J37" s="244" t="s">
        <v>503</v>
      </c>
      <c r="K37" s="229" t="s">
        <v>22</v>
      </c>
    </row>
    <row r="38" spans="6:11">
      <c r="F38" s="30"/>
      <c r="G38" s="244" t="s">
        <v>90</v>
      </c>
      <c r="H38" s="229">
        <v>-108</v>
      </c>
      <c r="I38" s="230" t="s">
        <v>87</v>
      </c>
      <c r="J38" s="244"/>
      <c r="K38" s="229"/>
    </row>
    <row r="39" spans="6:11">
      <c r="F39" s="30"/>
      <c r="G39" s="244" t="s">
        <v>128</v>
      </c>
      <c r="H39" s="229">
        <v>-8.99</v>
      </c>
      <c r="I39" s="230" t="s">
        <v>87</v>
      </c>
      <c r="J39" s="244"/>
      <c r="K39" s="229"/>
    </row>
    <row r="40" spans="6:11">
      <c r="F40" s="30"/>
      <c r="G40" s="244"/>
      <c r="H40" s="229"/>
      <c r="I40" s="230" t="s">
        <v>8</v>
      </c>
      <c r="J40" s="244"/>
      <c r="K40" s="229"/>
    </row>
    <row r="41" spans="6:11">
      <c r="F41" s="30"/>
      <c r="G41" s="244"/>
      <c r="H41" s="229"/>
      <c r="I41" s="230" t="s">
        <v>8</v>
      </c>
      <c r="J41" s="244"/>
      <c r="K41" s="229"/>
    </row>
    <row r="42" spans="6:11">
      <c r="F42" s="30"/>
      <c r="G42" s="244"/>
      <c r="H42" s="229"/>
      <c r="I42" s="230" t="s">
        <v>8</v>
      </c>
      <c r="J42" s="244"/>
      <c r="K42" s="229"/>
    </row>
    <row r="43" spans="6:11">
      <c r="F43" s="30"/>
      <c r="G43" s="244"/>
      <c r="H43" s="229"/>
      <c r="I43" s="230" t="s">
        <v>8</v>
      </c>
      <c r="J43" s="244"/>
      <c r="K43" s="229"/>
    </row>
    <row r="44" spans="6:11">
      <c r="F44" s="30"/>
      <c r="G44" s="244"/>
      <c r="H44" s="229"/>
      <c r="I44" s="230" t="s">
        <v>8</v>
      </c>
      <c r="J44" s="244"/>
      <c r="K44" s="229"/>
    </row>
    <row r="45" spans="6:11">
      <c r="F45" s="30"/>
      <c r="G45" s="244"/>
      <c r="H45" s="229"/>
      <c r="I45" s="230" t="s">
        <v>8</v>
      </c>
      <c r="J45" s="244"/>
      <c r="K45" s="229"/>
    </row>
    <row r="46" spans="6:11">
      <c r="F46" s="30"/>
      <c r="G46" s="244"/>
      <c r="H46" s="229"/>
      <c r="I46" s="230" t="s">
        <v>8</v>
      </c>
      <c r="J46" s="244"/>
      <c r="K46" s="229"/>
    </row>
    <row r="47" spans="6:11">
      <c r="G47" s="244"/>
      <c r="H47" s="229"/>
      <c r="I47" s="230" t="s">
        <v>8</v>
      </c>
      <c r="J47" s="244"/>
      <c r="K47" s="229"/>
    </row>
  </sheetData>
  <conditionalFormatting sqref="G2:H11 G12 G13:H31 G33:H34">
    <cfRule type="expression" dxfId="190" priority="2">
      <formula>#REF!</formula>
    </cfRule>
  </conditionalFormatting>
  <conditionalFormatting sqref="H35:H47">
    <cfRule type="expression" dxfId="189" priority="1">
      <formula>#REF!</formula>
    </cfRule>
  </conditionalFormatting>
  <conditionalFormatting sqref="I2:I3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88" priority="12">
      <formula>#REF!</formula>
    </cfRule>
  </conditionalFormatting>
  <conditionalFormatting sqref="I2:I47">
    <cfRule type="containsText" dxfId="187" priority="6" operator="containsText" text="No">
      <formula>NOT(ISERROR(SEARCH("No",I2)))</formula>
    </cfRule>
    <cfRule type="containsText" dxfId="186" priority="7" operator="containsText" text="yes">
      <formula>NOT(ISERROR(SEARCH("yes",I2)))</formula>
    </cfRule>
  </conditionalFormatting>
  <conditionalFormatting sqref="I38:I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85" priority="9">
      <formula>#REF!</formula>
    </cfRule>
  </conditionalFormatting>
  <conditionalFormatting sqref="J2:J31">
    <cfRule type="expression" dxfId="184" priority="10">
      <formula>#REF!</formula>
    </cfRule>
  </conditionalFormatting>
  <conditionalFormatting sqref="J2:J3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{DFF04F89-8C1F-42FF-B54A-588F52C95EB4}</x14:id>
        </ext>
      </extLst>
    </cfRule>
  </conditionalFormatting>
  <conditionalFormatting sqref="J38:J4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{FB781416-E68D-4032-8C80-B5C87B21FDDB}</x14:id>
        </ext>
      </extLst>
    </cfRule>
  </conditionalFormatting>
  <conditionalFormatting sqref="K2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{4ECABBA6-D9FD-4FC7-B0AE-89EF5B8D430F}</x14:id>
        </ext>
      </extLst>
    </cfRule>
    <cfRule type="expression" dxfId="183" priority="4">
      <formula>#REF!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04F89-8C1F-42FF-B54A-588F52C95E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FB781416-E68D-4032-8C80-B5C87B21F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  <x14:conditionalFormatting xmlns:xm="http://schemas.microsoft.com/office/excel/2006/main">
          <x14:cfRule type="dataBar" id="{4ECABBA6-D9FD-4FC7-B0AE-89EF5B8D43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K2:K47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938F-0488-47C4-BB37-3A41F50D9820}">
  <dimension ref="A1:L47"/>
  <sheetViews>
    <sheetView zoomScale="145" zoomScaleNormal="145" workbookViewId="0">
      <selection activeCell="D26" sqref="D26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10.08203125" bestFit="1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  <c r="K1" s="227" t="s">
        <v>534</v>
      </c>
    </row>
    <row r="2" spans="1:11">
      <c r="A2" s="213" t="s">
        <v>6</v>
      </c>
      <c r="B2" s="249">
        <v>5237.78</v>
      </c>
      <c r="C2" s="226"/>
      <c r="D2" s="7"/>
      <c r="E2" s="4"/>
      <c r="G2" s="228" t="s">
        <v>7</v>
      </c>
      <c r="H2" s="229">
        <v>-1268.67</v>
      </c>
      <c r="I2" s="230" t="s">
        <v>87</v>
      </c>
      <c r="J2" s="229"/>
      <c r="K2" s="229" t="s">
        <v>535</v>
      </c>
    </row>
    <row r="3" spans="1:11">
      <c r="A3" s="214" t="s">
        <v>9</v>
      </c>
      <c r="B3" s="192">
        <f>SUMIF(I2:I47,"Yes*",H2:H47)</f>
        <v>-5301.39</v>
      </c>
      <c r="C3" s="226"/>
      <c r="D3" s="6" t="s">
        <v>520</v>
      </c>
      <c r="E3" s="5">
        <v>100</v>
      </c>
      <c r="G3" s="228" t="s">
        <v>566</v>
      </c>
      <c r="H3" s="229">
        <v>-250</v>
      </c>
      <c r="I3" s="230" t="s">
        <v>87</v>
      </c>
      <c r="J3" s="229" t="s">
        <v>514</v>
      </c>
      <c r="K3" s="229" t="s">
        <v>202</v>
      </c>
    </row>
    <row r="4" spans="1:11" outlineLevel="1">
      <c r="A4" s="213" t="s">
        <v>12</v>
      </c>
      <c r="B4" s="249">
        <v>38.479999999999997</v>
      </c>
      <c r="C4" s="226"/>
      <c r="D4" s="24" t="s">
        <v>560</v>
      </c>
      <c r="E4" s="25">
        <v>100</v>
      </c>
      <c r="F4" s="231"/>
      <c r="G4" s="228" t="s">
        <v>14</v>
      </c>
      <c r="H4" s="229">
        <v>-37</v>
      </c>
      <c r="I4" s="230" t="s">
        <v>87</v>
      </c>
      <c r="J4" s="229"/>
      <c r="K4" s="229" t="s">
        <v>536</v>
      </c>
    </row>
    <row r="5" spans="1:11" ht="15" thickBot="1">
      <c r="A5" s="215" t="s">
        <v>15</v>
      </c>
      <c r="B5" s="200">
        <f>SUMIF(I2:I47,"No",H2:H47)</f>
        <v>-31</v>
      </c>
      <c r="C5" s="226"/>
      <c r="D5" s="24" t="s">
        <v>522</v>
      </c>
      <c r="E5" s="25">
        <v>100</v>
      </c>
      <c r="G5" s="228" t="s">
        <v>17</v>
      </c>
      <c r="H5" s="229">
        <v>-35</v>
      </c>
      <c r="I5" s="230" t="s">
        <v>87</v>
      </c>
      <c r="J5" s="229"/>
      <c r="K5" s="229" t="s">
        <v>536</v>
      </c>
    </row>
    <row r="6" spans="1:11" ht="15" thickBot="1">
      <c r="A6" s="216" t="s">
        <v>18</v>
      </c>
      <c r="B6" s="29">
        <f>B5+B4</f>
        <v>7.4799999999999969</v>
      </c>
      <c r="C6" s="226" t="s">
        <v>19</v>
      </c>
      <c r="D6" s="24" t="s">
        <v>526</v>
      </c>
      <c r="E6" s="25">
        <v>550</v>
      </c>
      <c r="G6" s="228" t="s">
        <v>21</v>
      </c>
      <c r="H6" s="229">
        <v>-15</v>
      </c>
      <c r="I6" s="230" t="s">
        <v>87</v>
      </c>
      <c r="J6" s="229"/>
      <c r="K6" s="229" t="s">
        <v>537</v>
      </c>
    </row>
    <row r="7" spans="1:11">
      <c r="A7" s="217" t="s">
        <v>504</v>
      </c>
      <c r="B7" s="201">
        <f>SUMIF(J2:J47,"f1",H2:H47)</f>
        <v>-1966</v>
      </c>
      <c r="C7" s="30"/>
      <c r="D7" s="24" t="s">
        <v>571</v>
      </c>
      <c r="E7" s="25">
        <v>160</v>
      </c>
      <c r="G7" s="228" t="s">
        <v>24</v>
      </c>
      <c r="H7" s="229">
        <v>-155</v>
      </c>
      <c r="I7" s="230" t="s">
        <v>87</v>
      </c>
      <c r="J7" s="229"/>
      <c r="K7" s="229" t="s">
        <v>537</v>
      </c>
    </row>
    <row r="8" spans="1:11">
      <c r="A8" s="218" t="s">
        <v>505</v>
      </c>
      <c r="B8" s="194">
        <f>SUMIF(J2:J47,"f2",H2:H47)</f>
        <v>-61</v>
      </c>
      <c r="C8" s="30"/>
      <c r="D8" s="24" t="s">
        <v>74</v>
      </c>
      <c r="E8" s="25"/>
      <c r="G8" s="228" t="s">
        <v>25</v>
      </c>
      <c r="H8" s="229">
        <v>-80</v>
      </c>
      <c r="I8" s="230" t="s">
        <v>87</v>
      </c>
      <c r="J8" s="229" t="s">
        <v>514</v>
      </c>
      <c r="K8" s="229" t="s">
        <v>536</v>
      </c>
    </row>
    <row r="9" spans="1:11">
      <c r="A9" s="218" t="s">
        <v>147</v>
      </c>
      <c r="B9" s="194">
        <f>SUMIF(J2:J47,"",H2:H47)</f>
        <v>-2855.3900000000003</v>
      </c>
      <c r="C9" s="226"/>
      <c r="D9" s="24" t="s">
        <v>525</v>
      </c>
      <c r="E9" s="25"/>
      <c r="G9" s="228" t="s">
        <v>27</v>
      </c>
      <c r="H9" s="229">
        <v>-20</v>
      </c>
      <c r="I9" s="230" t="s">
        <v>87</v>
      </c>
      <c r="J9" s="229"/>
      <c r="K9" s="229" t="s">
        <v>538</v>
      </c>
    </row>
    <row r="10" spans="1:11" ht="15" thickBot="1">
      <c r="A10" s="218" t="s">
        <v>202</v>
      </c>
      <c r="B10" s="194">
        <f>SUMIF(J2:J47,"s",H2:H47)</f>
        <v>-450</v>
      </c>
      <c r="C10" s="226"/>
      <c r="D10" s="24" t="s">
        <v>554</v>
      </c>
      <c r="E10" s="25"/>
      <c r="G10" s="228" t="s">
        <v>85</v>
      </c>
      <c r="H10" s="229">
        <v>-100</v>
      </c>
      <c r="I10" s="230" t="s">
        <v>87</v>
      </c>
      <c r="J10" s="229" t="s">
        <v>514</v>
      </c>
      <c r="K10" s="229" t="s">
        <v>202</v>
      </c>
    </row>
    <row r="11" spans="1:11" ht="15" thickBot="1">
      <c r="A11" s="232"/>
      <c r="C11" s="226"/>
      <c r="D11" s="26" t="s">
        <v>28</v>
      </c>
      <c r="E11" s="27">
        <f>SUM(E2:E10)</f>
        <v>1010</v>
      </c>
      <c r="G11" s="228" t="s">
        <v>30</v>
      </c>
      <c r="H11" s="229">
        <v>-4.99</v>
      </c>
      <c r="I11" s="230" t="s">
        <v>87</v>
      </c>
      <c r="J11" s="229"/>
      <c r="K11" s="229" t="s">
        <v>538</v>
      </c>
    </row>
    <row r="12" spans="1:11" ht="15" thickBot="1">
      <c r="A12" s="233"/>
      <c r="B12" s="234"/>
      <c r="C12" s="226"/>
      <c r="D12" s="26" t="s">
        <v>501</v>
      </c>
      <c r="E12" s="27"/>
      <c r="G12" s="228" t="s">
        <v>78</v>
      </c>
      <c r="H12" s="235">
        <v>-18</v>
      </c>
      <c r="I12" s="230" t="s">
        <v>87</v>
      </c>
      <c r="J12" s="229"/>
      <c r="K12" s="229" t="s">
        <v>538</v>
      </c>
    </row>
    <row r="13" spans="1:11" ht="15" thickBot="1">
      <c r="A13" s="27" t="s">
        <v>528</v>
      </c>
      <c r="B13" s="27">
        <v>12000</v>
      </c>
      <c r="C13" s="226"/>
      <c r="D13" s="26" t="s">
        <v>543</v>
      </c>
      <c r="E13" s="27">
        <v>5111.07</v>
      </c>
      <c r="G13" s="228" t="s">
        <v>33</v>
      </c>
      <c r="H13" s="229">
        <v>-225</v>
      </c>
      <c r="I13" s="230" t="s">
        <v>87</v>
      </c>
      <c r="J13" s="229"/>
      <c r="K13" s="229" t="s">
        <v>537</v>
      </c>
    </row>
    <row r="14" spans="1:11" ht="15" thickBot="1">
      <c r="A14" s="27" t="s">
        <v>501</v>
      </c>
      <c r="B14" s="27">
        <f>E12+E13</f>
        <v>5111.07</v>
      </c>
      <c r="C14" s="226"/>
      <c r="D14" s="26" t="s">
        <v>559</v>
      </c>
      <c r="E14" s="27">
        <v>1345.57</v>
      </c>
      <c r="G14" s="228" t="s">
        <v>34</v>
      </c>
      <c r="H14" s="229">
        <v>-13</v>
      </c>
      <c r="I14" s="230" t="s">
        <v>87</v>
      </c>
      <c r="J14" s="229"/>
      <c r="K14" s="229" t="s">
        <v>537</v>
      </c>
    </row>
    <row r="15" spans="1:11" ht="15" thickBot="1">
      <c r="A15" s="27" t="s">
        <v>529</v>
      </c>
      <c r="B15" s="27">
        <f>B13-B14</f>
        <v>6888.93</v>
      </c>
      <c r="C15" s="226"/>
      <c r="D15" s="26" t="s">
        <v>551</v>
      </c>
      <c r="E15" s="27">
        <v>1370</v>
      </c>
      <c r="G15" s="228" t="s">
        <v>470</v>
      </c>
      <c r="H15" s="229">
        <v>-10</v>
      </c>
      <c r="I15" s="230" t="s">
        <v>87</v>
      </c>
      <c r="J15" s="229"/>
      <c r="K15" s="229" t="s">
        <v>537</v>
      </c>
    </row>
    <row r="16" spans="1:11" ht="15" thickBot="1">
      <c r="A16" s="27" t="s">
        <v>530</v>
      </c>
      <c r="B16" s="246">
        <f>B14/B13</f>
        <v>0.42592249999999998</v>
      </c>
      <c r="C16" s="226"/>
      <c r="D16" s="236"/>
      <c r="G16" s="228" t="s">
        <v>34</v>
      </c>
      <c r="H16" s="229">
        <v>-31.5</v>
      </c>
      <c r="I16" s="230" t="s">
        <v>87</v>
      </c>
      <c r="J16" s="229"/>
      <c r="K16" s="229" t="s">
        <v>537</v>
      </c>
    </row>
    <row r="17" spans="1:12">
      <c r="A17" s="211"/>
      <c r="B17" s="236"/>
      <c r="C17" s="226"/>
      <c r="G17" s="228" t="s">
        <v>39</v>
      </c>
      <c r="H17" s="229">
        <v>-1.5</v>
      </c>
      <c r="I17" s="230" t="s">
        <v>87</v>
      </c>
      <c r="J17" s="229"/>
      <c r="K17" s="229" t="s">
        <v>538</v>
      </c>
    </row>
    <row r="18" spans="1:12">
      <c r="A18" s="237" t="s">
        <v>7</v>
      </c>
      <c r="C18" s="226"/>
      <c r="G18" s="228" t="s">
        <v>479</v>
      </c>
      <c r="H18" s="229">
        <v>-5</v>
      </c>
      <c r="I18" s="230" t="s">
        <v>87</v>
      </c>
      <c r="J18" s="229"/>
      <c r="K18" s="229" t="s">
        <v>536</v>
      </c>
    </row>
    <row r="19" spans="1:12">
      <c r="A19" s="219" t="s">
        <v>35</v>
      </c>
      <c r="B19" s="202">
        <v>152415.81</v>
      </c>
      <c r="C19" s="226"/>
      <c r="G19" s="228" t="s">
        <v>68</v>
      </c>
      <c r="H19" s="229">
        <v>-800</v>
      </c>
      <c r="I19" s="230" t="s">
        <v>87</v>
      </c>
      <c r="J19" s="229" t="s">
        <v>502</v>
      </c>
      <c r="K19" s="229" t="s">
        <v>22</v>
      </c>
    </row>
    <row r="20" spans="1:12" ht="15" thickBot="1">
      <c r="A20" s="220" t="s">
        <v>37</v>
      </c>
      <c r="B20" s="203">
        <v>80647.8</v>
      </c>
      <c r="C20" s="226"/>
      <c r="G20" s="228" t="s">
        <v>70</v>
      </c>
      <c r="H20" s="229">
        <v>-28</v>
      </c>
      <c r="I20" s="230" t="s">
        <v>87</v>
      </c>
      <c r="J20" s="229" t="s">
        <v>503</v>
      </c>
      <c r="K20" s="229" t="s">
        <v>539</v>
      </c>
    </row>
    <row r="21" spans="1:12" ht="15" thickBot="1">
      <c r="A21" s="221" t="s">
        <v>38</v>
      </c>
      <c r="B21" s="204">
        <f>SUM(B19:B20)</f>
        <v>233063.61</v>
      </c>
      <c r="C21" s="226"/>
      <c r="G21" s="228" t="s">
        <v>552</v>
      </c>
      <c r="H21" s="229">
        <v>-186</v>
      </c>
      <c r="I21" s="230" t="s">
        <v>87</v>
      </c>
      <c r="J21" s="229" t="s">
        <v>502</v>
      </c>
      <c r="K21" s="229" t="s">
        <v>22</v>
      </c>
    </row>
    <row r="22" spans="1:12" ht="15" thickBot="1">
      <c r="A22" s="222" t="s">
        <v>40</v>
      </c>
      <c r="B22" s="205">
        <f>B23*0.2</f>
        <v>90000</v>
      </c>
      <c r="C22" s="226"/>
      <c r="G22" s="228" t="s">
        <v>49</v>
      </c>
      <c r="H22" s="229">
        <v>-900</v>
      </c>
      <c r="I22" s="230" t="s">
        <v>87</v>
      </c>
      <c r="J22" s="229" t="s">
        <v>502</v>
      </c>
      <c r="K22" s="229" t="s">
        <v>540</v>
      </c>
    </row>
    <row r="23" spans="1:12">
      <c r="A23" s="238" t="s">
        <v>43</v>
      </c>
      <c r="B23" s="248">
        <v>450000</v>
      </c>
      <c r="C23" s="226"/>
      <c r="G23" s="228" t="s">
        <v>74</v>
      </c>
      <c r="H23" s="229">
        <v>-11</v>
      </c>
      <c r="I23" s="230" t="s">
        <v>87</v>
      </c>
      <c r="J23" s="229"/>
      <c r="K23" s="229" t="s">
        <v>539</v>
      </c>
    </row>
    <row r="24" spans="1:12">
      <c r="A24" s="240" t="s">
        <v>46</v>
      </c>
      <c r="B24" s="247">
        <f>B23-SUM(B21:B22)</f>
        <v>126936.39000000001</v>
      </c>
      <c r="G24" s="228" t="s">
        <v>52</v>
      </c>
      <c r="H24" s="229">
        <v>-7.6</v>
      </c>
      <c r="I24" s="230" t="s">
        <v>87</v>
      </c>
      <c r="J24" s="229"/>
      <c r="K24" s="229" t="s">
        <v>537</v>
      </c>
    </row>
    <row r="25" spans="1:12">
      <c r="G25" s="228" t="s">
        <v>54</v>
      </c>
      <c r="H25" s="229"/>
      <c r="I25" s="230" t="s">
        <v>8</v>
      </c>
      <c r="J25" s="229" t="s">
        <v>514</v>
      </c>
      <c r="K25" s="229" t="s">
        <v>202</v>
      </c>
    </row>
    <row r="26" spans="1:12">
      <c r="A26" s="226" t="s">
        <v>73</v>
      </c>
      <c r="G26" s="228" t="s">
        <v>55</v>
      </c>
      <c r="H26" s="229">
        <v>-31</v>
      </c>
      <c r="I26" s="230" t="s">
        <v>87</v>
      </c>
      <c r="J26" s="229"/>
      <c r="K26" s="229" t="s">
        <v>536</v>
      </c>
    </row>
    <row r="27" spans="1:12">
      <c r="G27" s="228" t="s">
        <v>56</v>
      </c>
      <c r="H27" s="229">
        <v>-80</v>
      </c>
      <c r="I27" s="230" t="s">
        <v>87</v>
      </c>
      <c r="J27" s="229" t="s">
        <v>502</v>
      </c>
      <c r="K27" s="229" t="s">
        <v>22</v>
      </c>
    </row>
    <row r="28" spans="1:12">
      <c r="G28" s="228" t="s">
        <v>78</v>
      </c>
      <c r="H28" s="229">
        <v>-18</v>
      </c>
      <c r="I28" s="230" t="s">
        <v>8</v>
      </c>
      <c r="J28" s="229"/>
      <c r="K28" s="229" t="s">
        <v>537</v>
      </c>
      <c r="L28" s="242"/>
    </row>
    <row r="29" spans="1:12">
      <c r="G29" s="228" t="s">
        <v>57</v>
      </c>
      <c r="H29" s="229">
        <v>-33</v>
      </c>
      <c r="I29" s="230" t="s">
        <v>87</v>
      </c>
      <c r="J29" s="229" t="s">
        <v>503</v>
      </c>
      <c r="K29" s="229" t="s">
        <v>22</v>
      </c>
    </row>
    <row r="30" spans="1:12">
      <c r="A30" s="31" t="s">
        <v>509</v>
      </c>
      <c r="G30" s="228" t="s">
        <v>79</v>
      </c>
      <c r="H30" s="229">
        <v>-12</v>
      </c>
      <c r="I30" s="230" t="s">
        <v>87</v>
      </c>
      <c r="J30" s="229"/>
      <c r="K30" s="229" t="s">
        <v>537</v>
      </c>
    </row>
    <row r="31" spans="1:12" ht="15.5">
      <c r="A31" s="243">
        <v>1104841580</v>
      </c>
      <c r="F31" s="30"/>
      <c r="G31" s="228" t="s">
        <v>80</v>
      </c>
      <c r="H31" s="229">
        <v>-33</v>
      </c>
      <c r="I31" s="230" t="s">
        <v>87</v>
      </c>
      <c r="J31" s="229"/>
      <c r="K31" s="229" t="s">
        <v>202</v>
      </c>
    </row>
    <row r="32" spans="1:12">
      <c r="F32" s="30"/>
      <c r="G32" s="228" t="s">
        <v>144</v>
      </c>
      <c r="H32" s="229">
        <v>-100</v>
      </c>
      <c r="I32" s="230" t="s">
        <v>87</v>
      </c>
      <c r="J32" s="229"/>
      <c r="K32" s="229" t="s">
        <v>541</v>
      </c>
    </row>
    <row r="33" spans="6:11">
      <c r="F33" s="30"/>
      <c r="G33" s="228" t="s">
        <v>62</v>
      </c>
      <c r="H33" s="229">
        <v>-20</v>
      </c>
      <c r="I33" s="230" t="s">
        <v>87</v>
      </c>
      <c r="J33" s="244" t="s">
        <v>514</v>
      </c>
      <c r="K33" s="229" t="s">
        <v>542</v>
      </c>
    </row>
    <row r="34" spans="6:11">
      <c r="F34" s="30"/>
      <c r="G34" s="228" t="s">
        <v>84</v>
      </c>
      <c r="H34" s="229">
        <v>-127</v>
      </c>
      <c r="I34" s="230" t="s">
        <v>87</v>
      </c>
      <c r="J34" s="244"/>
      <c r="K34" s="229" t="s">
        <v>535</v>
      </c>
    </row>
    <row r="35" spans="6:11">
      <c r="F35" s="30"/>
      <c r="G35" s="244" t="s">
        <v>565</v>
      </c>
      <c r="H35" s="229"/>
      <c r="I35" s="230" t="s">
        <v>8</v>
      </c>
      <c r="J35" s="244"/>
      <c r="K35" s="229" t="s">
        <v>202</v>
      </c>
    </row>
    <row r="36" spans="6:11">
      <c r="F36" s="30"/>
      <c r="G36" s="244" t="s">
        <v>464</v>
      </c>
      <c r="H36" s="229">
        <v>-27</v>
      </c>
      <c r="I36" s="230" t="s">
        <v>87</v>
      </c>
      <c r="J36" s="244"/>
      <c r="K36" s="229" t="s">
        <v>22</v>
      </c>
    </row>
    <row r="37" spans="6:11">
      <c r="F37" s="30"/>
      <c r="G37" s="244" t="s">
        <v>63</v>
      </c>
      <c r="H37" s="229">
        <v>-100</v>
      </c>
      <c r="I37" s="230" t="s">
        <v>87</v>
      </c>
      <c r="J37" s="244"/>
      <c r="K37" s="229" t="s">
        <v>22</v>
      </c>
    </row>
    <row r="38" spans="6:11">
      <c r="F38" s="30"/>
      <c r="G38" s="244" t="s">
        <v>91</v>
      </c>
      <c r="H38" s="229">
        <v>-150</v>
      </c>
      <c r="I38" s="230" t="s">
        <v>87</v>
      </c>
      <c r="J38" s="244"/>
      <c r="K38" s="229"/>
    </row>
    <row r="39" spans="6:11">
      <c r="F39" s="30"/>
      <c r="G39" s="244" t="s">
        <v>564</v>
      </c>
      <c r="H39" s="229">
        <v>-236.13</v>
      </c>
      <c r="I39" s="230" t="s">
        <v>87</v>
      </c>
      <c r="J39" s="244"/>
      <c r="K39" s="229"/>
    </row>
    <row r="40" spans="6:11">
      <c r="F40" s="30"/>
      <c r="G40" s="244" t="s">
        <v>370</v>
      </c>
      <c r="H40" s="229">
        <v>-150</v>
      </c>
      <c r="I40" s="230" t="s">
        <v>87</v>
      </c>
      <c r="J40" s="244"/>
      <c r="K40" s="229"/>
    </row>
    <row r="41" spans="6:11">
      <c r="F41" s="30"/>
      <c r="G41" s="244" t="s">
        <v>123</v>
      </c>
      <c r="H41" s="229">
        <v>-13</v>
      </c>
      <c r="I41" s="230" t="s">
        <v>8</v>
      </c>
      <c r="J41" s="244"/>
      <c r="K41" s="229"/>
    </row>
    <row r="42" spans="6:11">
      <c r="F42" s="30"/>
      <c r="G42" s="244"/>
      <c r="H42" s="229"/>
      <c r="I42" s="230" t="s">
        <v>8</v>
      </c>
      <c r="J42" s="244"/>
      <c r="K42" s="229"/>
    </row>
    <row r="43" spans="6:11">
      <c r="F43" s="30"/>
      <c r="G43" s="244"/>
      <c r="H43" s="229"/>
      <c r="I43" s="230" t="s">
        <v>8</v>
      </c>
      <c r="J43" s="244"/>
      <c r="K43" s="229"/>
    </row>
    <row r="44" spans="6:11">
      <c r="F44" s="30"/>
      <c r="G44" s="244"/>
      <c r="H44" s="229"/>
      <c r="I44" s="230" t="s">
        <v>8</v>
      </c>
      <c r="J44" s="244"/>
      <c r="K44" s="229"/>
    </row>
    <row r="45" spans="6:11">
      <c r="F45" s="30"/>
      <c r="G45" s="244"/>
      <c r="H45" s="229"/>
      <c r="I45" s="230" t="s">
        <v>8</v>
      </c>
      <c r="J45" s="244"/>
      <c r="K45" s="229"/>
    </row>
    <row r="46" spans="6:11">
      <c r="F46" s="30"/>
      <c r="G46" s="244"/>
      <c r="H46" s="229"/>
      <c r="I46" s="230" t="s">
        <v>8</v>
      </c>
      <c r="J46" s="244"/>
      <c r="K46" s="229"/>
    </row>
    <row r="47" spans="6:11">
      <c r="G47" s="244"/>
      <c r="H47" s="229"/>
      <c r="I47" s="230" t="s">
        <v>8</v>
      </c>
      <c r="J47" s="244"/>
      <c r="K47" s="229"/>
    </row>
  </sheetData>
  <conditionalFormatting sqref="G2:H11 G12 G13:H31 G33:H34">
    <cfRule type="expression" dxfId="182" priority="2">
      <formula>#REF!</formula>
    </cfRule>
  </conditionalFormatting>
  <conditionalFormatting sqref="H35:H47">
    <cfRule type="expression" dxfId="181" priority="1">
      <formula>#REF!</formula>
    </cfRule>
  </conditionalFormatting>
  <conditionalFormatting sqref="I2:I3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80" priority="12">
      <formula>#REF!</formula>
    </cfRule>
  </conditionalFormatting>
  <conditionalFormatting sqref="I2:I47">
    <cfRule type="containsText" dxfId="179" priority="6" operator="containsText" text="No">
      <formula>NOT(ISERROR(SEARCH("No",I2)))</formula>
    </cfRule>
    <cfRule type="containsText" dxfId="178" priority="7" operator="containsText" text="yes">
      <formula>NOT(ISERROR(SEARCH("yes",I2)))</formula>
    </cfRule>
  </conditionalFormatting>
  <conditionalFormatting sqref="I38:I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77" priority="9">
      <formula>#REF!</formula>
    </cfRule>
  </conditionalFormatting>
  <conditionalFormatting sqref="J2:J31">
    <cfRule type="expression" dxfId="176" priority="10">
      <formula>#REF!</formula>
    </cfRule>
  </conditionalFormatting>
  <conditionalFormatting sqref="J2:J3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{C207BC07-28AC-47E9-97C5-634F24E2397B}</x14:id>
        </ext>
      </extLst>
    </cfRule>
  </conditionalFormatting>
  <conditionalFormatting sqref="J38:J4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{9A9EB70C-7E64-4F22-8809-EAB0E271578F}</x14:id>
        </ext>
      </extLst>
    </cfRule>
  </conditionalFormatting>
  <conditionalFormatting sqref="K2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{F35CEB5A-5EC1-4BD6-9A4B-A36A73DE07D2}</x14:id>
        </ext>
      </extLst>
    </cfRule>
    <cfRule type="expression" dxfId="175" priority="4">
      <formula>#REF!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07BC07-28AC-47E9-97C5-634F24E239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9A9EB70C-7E64-4F22-8809-EAB0E27157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  <x14:conditionalFormatting xmlns:xm="http://schemas.microsoft.com/office/excel/2006/main">
          <x14:cfRule type="dataBar" id="{F35CEB5A-5EC1-4BD6-9A4B-A36A73DE0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K2:K47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4AC3-1550-4302-ACC3-188A4F938E1D}">
  <dimension ref="A1:L47"/>
  <sheetViews>
    <sheetView zoomScale="145" zoomScaleNormal="145" workbookViewId="0">
      <selection activeCell="I11" sqref="I11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10.08203125" bestFit="1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  <c r="K1" s="227" t="s">
        <v>534</v>
      </c>
    </row>
    <row r="2" spans="1:11">
      <c r="A2" s="213" t="s">
        <v>6</v>
      </c>
      <c r="B2" s="249">
        <v>5147.97</v>
      </c>
      <c r="C2" s="226"/>
      <c r="D2" s="7"/>
      <c r="E2" s="4"/>
      <c r="G2" s="228" t="s">
        <v>7</v>
      </c>
      <c r="H2" s="229">
        <v>-1268.67</v>
      </c>
      <c r="I2" s="230" t="s">
        <v>87</v>
      </c>
      <c r="J2" s="229"/>
      <c r="K2" s="229" t="s">
        <v>535</v>
      </c>
    </row>
    <row r="3" spans="1:11">
      <c r="A3" s="214" t="s">
        <v>9</v>
      </c>
      <c r="B3" s="192">
        <f>SUMIF(I2:I47,"Yes*",H2:H47)</f>
        <v>-5776.4</v>
      </c>
      <c r="C3" s="226"/>
      <c r="D3" s="6" t="s">
        <v>520</v>
      </c>
      <c r="E3" s="5">
        <v>100</v>
      </c>
      <c r="G3" s="228" t="s">
        <v>111</v>
      </c>
      <c r="H3" s="229">
        <v>-230</v>
      </c>
      <c r="I3" s="230" t="s">
        <v>87</v>
      </c>
      <c r="J3" s="229"/>
      <c r="K3" s="229" t="s">
        <v>202</v>
      </c>
    </row>
    <row r="4" spans="1:11" outlineLevel="1">
      <c r="A4" s="213" t="s">
        <v>12</v>
      </c>
      <c r="B4" s="249">
        <v>56.22</v>
      </c>
      <c r="C4" s="226"/>
      <c r="D4" s="24" t="s">
        <v>558</v>
      </c>
      <c r="E4" s="25">
        <v>100</v>
      </c>
      <c r="F4" s="231"/>
      <c r="G4" s="228" t="s">
        <v>14</v>
      </c>
      <c r="H4" s="229">
        <v>-37</v>
      </c>
      <c r="I4" s="230" t="s">
        <v>87</v>
      </c>
      <c r="J4" s="229"/>
      <c r="K4" s="229" t="s">
        <v>536</v>
      </c>
    </row>
    <row r="5" spans="1:11" ht="15" thickBot="1">
      <c r="A5" s="215" t="s">
        <v>15</v>
      </c>
      <c r="B5" s="200">
        <f>SUMIF(I2:I47,"No",H2:H47)</f>
        <v>0</v>
      </c>
      <c r="C5" s="226"/>
      <c r="D5" s="24" t="s">
        <v>522</v>
      </c>
      <c r="E5" s="25">
        <v>80</v>
      </c>
      <c r="G5" s="228" t="s">
        <v>17</v>
      </c>
      <c r="H5" s="229">
        <v>-39</v>
      </c>
      <c r="I5" s="230" t="s">
        <v>87</v>
      </c>
      <c r="J5" s="229"/>
      <c r="K5" s="229" t="s">
        <v>536</v>
      </c>
    </row>
    <row r="6" spans="1:11" ht="15" thickBot="1">
      <c r="A6" s="216" t="s">
        <v>18</v>
      </c>
      <c r="B6" s="29">
        <f>B5+B4</f>
        <v>56.22</v>
      </c>
      <c r="C6" s="226" t="s">
        <v>19</v>
      </c>
      <c r="D6" s="24" t="s">
        <v>526</v>
      </c>
      <c r="E6" s="25">
        <v>570</v>
      </c>
      <c r="G6" s="228" t="s">
        <v>21</v>
      </c>
      <c r="H6" s="229">
        <v>-15</v>
      </c>
      <c r="I6" s="230" t="s">
        <v>87</v>
      </c>
      <c r="J6" s="229"/>
      <c r="K6" s="229" t="s">
        <v>537</v>
      </c>
    </row>
    <row r="7" spans="1:11">
      <c r="A7" s="217" t="s">
        <v>504</v>
      </c>
      <c r="B7" s="201">
        <f>SUMIF(J2:J47,"f1",H2:H47)</f>
        <v>-1700</v>
      </c>
      <c r="C7" s="30"/>
      <c r="D7" s="24" t="s">
        <v>548</v>
      </c>
      <c r="E7" s="25"/>
      <c r="G7" s="228" t="s">
        <v>24</v>
      </c>
      <c r="H7" s="229">
        <v>-155</v>
      </c>
      <c r="I7" s="230" t="s">
        <v>87</v>
      </c>
      <c r="J7" s="229"/>
      <c r="K7" s="229" t="s">
        <v>537</v>
      </c>
    </row>
    <row r="8" spans="1:11">
      <c r="A8" s="218" t="s">
        <v>505</v>
      </c>
      <c r="B8" s="194">
        <f>SUMIF(J2:J47,"f2",H2:H47)</f>
        <v>-28</v>
      </c>
      <c r="C8" s="30"/>
      <c r="D8" s="24" t="s">
        <v>74</v>
      </c>
      <c r="E8" s="25"/>
      <c r="G8" s="228" t="s">
        <v>25</v>
      </c>
      <c r="H8" s="229">
        <v>-50</v>
      </c>
      <c r="I8" s="230" t="s">
        <v>87</v>
      </c>
      <c r="J8" s="229" t="s">
        <v>514</v>
      </c>
      <c r="K8" s="229" t="s">
        <v>536</v>
      </c>
    </row>
    <row r="9" spans="1:11">
      <c r="A9" s="218" t="s">
        <v>147</v>
      </c>
      <c r="B9" s="194">
        <f>SUMIF(J2:J47,"",H2:H47)</f>
        <v>-3978.3999999999996</v>
      </c>
      <c r="C9" s="226"/>
      <c r="D9" s="24" t="s">
        <v>562</v>
      </c>
      <c r="E9" s="25">
        <v>73</v>
      </c>
      <c r="G9" s="228" t="s">
        <v>27</v>
      </c>
      <c r="H9" s="229">
        <v>-20</v>
      </c>
      <c r="I9" s="230" t="s">
        <v>87</v>
      </c>
      <c r="J9" s="229"/>
      <c r="K9" s="229" t="s">
        <v>538</v>
      </c>
    </row>
    <row r="10" spans="1:11" ht="15" thickBot="1">
      <c r="A10" s="218" t="s">
        <v>202</v>
      </c>
      <c r="B10" s="194">
        <f>SUMIF(J2:J47,"s",H2:H47)</f>
        <v>-70</v>
      </c>
      <c r="C10" s="226"/>
      <c r="D10" s="24"/>
      <c r="E10" s="25"/>
      <c r="G10" s="228" t="s">
        <v>78</v>
      </c>
      <c r="H10" s="229">
        <v>-18</v>
      </c>
      <c r="I10" s="230" t="s">
        <v>87</v>
      </c>
      <c r="J10" s="229"/>
      <c r="K10" s="229" t="s">
        <v>202</v>
      </c>
    </row>
    <row r="11" spans="1:11" ht="15" thickBot="1">
      <c r="A11" s="232"/>
      <c r="C11" s="226"/>
      <c r="D11" s="26" t="s">
        <v>28</v>
      </c>
      <c r="E11" s="27">
        <f>SUM(E2:E10)</f>
        <v>923</v>
      </c>
      <c r="G11" s="228" t="s">
        <v>30</v>
      </c>
      <c r="H11" s="229">
        <v>-4.99</v>
      </c>
      <c r="I11" s="230" t="s">
        <v>87</v>
      </c>
      <c r="J11" s="229"/>
      <c r="K11" s="229" t="s">
        <v>538</v>
      </c>
    </row>
    <row r="12" spans="1:11" ht="15" thickBot="1">
      <c r="A12" s="233"/>
      <c r="B12" s="234"/>
      <c r="C12" s="226"/>
      <c r="D12" s="26" t="s">
        <v>501</v>
      </c>
      <c r="E12" s="27"/>
      <c r="G12" s="228" t="s">
        <v>561</v>
      </c>
      <c r="H12" s="235">
        <v>-80</v>
      </c>
      <c r="I12" s="230" t="s">
        <v>87</v>
      </c>
      <c r="J12" s="229"/>
      <c r="K12" s="229" t="s">
        <v>538</v>
      </c>
    </row>
    <row r="13" spans="1:11" ht="15" thickBot="1">
      <c r="A13" s="27" t="s">
        <v>528</v>
      </c>
      <c r="B13" s="27">
        <v>12000</v>
      </c>
      <c r="C13" s="226"/>
      <c r="D13" s="26" t="s">
        <v>543</v>
      </c>
      <c r="E13" s="27">
        <v>5095.24</v>
      </c>
      <c r="G13" s="228" t="s">
        <v>33</v>
      </c>
      <c r="H13" s="229">
        <v>-225</v>
      </c>
      <c r="I13" s="230" t="s">
        <v>87</v>
      </c>
      <c r="J13" s="229"/>
      <c r="K13" s="229" t="s">
        <v>537</v>
      </c>
    </row>
    <row r="14" spans="1:11" ht="15" thickBot="1">
      <c r="A14" s="27" t="s">
        <v>501</v>
      </c>
      <c r="B14" s="27">
        <f>E12+E13</f>
        <v>5095.24</v>
      </c>
      <c r="C14" s="226"/>
      <c r="D14" s="26" t="s">
        <v>563</v>
      </c>
      <c r="E14" s="27">
        <v>1341.51</v>
      </c>
      <c r="G14" s="228" t="s">
        <v>34</v>
      </c>
      <c r="H14" s="229">
        <v>-13</v>
      </c>
      <c r="I14" s="230" t="s">
        <v>87</v>
      </c>
      <c r="J14" s="229"/>
      <c r="K14" s="229" t="s">
        <v>537</v>
      </c>
    </row>
    <row r="15" spans="1:11" ht="15" thickBot="1">
      <c r="A15" s="27" t="s">
        <v>529</v>
      </c>
      <c r="B15" s="27">
        <f>B13-B14</f>
        <v>6904.76</v>
      </c>
      <c r="C15" s="226"/>
      <c r="D15" s="26" t="s">
        <v>551</v>
      </c>
      <c r="E15" s="27">
        <v>1270</v>
      </c>
      <c r="G15" s="228" t="s">
        <v>470</v>
      </c>
      <c r="H15" s="229">
        <v>-10</v>
      </c>
      <c r="I15" s="230" t="s">
        <v>87</v>
      </c>
      <c r="J15" s="229"/>
      <c r="K15" s="229" t="s">
        <v>537</v>
      </c>
    </row>
    <row r="16" spans="1:11" ht="15" thickBot="1">
      <c r="A16" s="27" t="s">
        <v>530</v>
      </c>
      <c r="B16" s="246">
        <f>B14/B13</f>
        <v>0.42460333333333333</v>
      </c>
      <c r="C16" s="226"/>
      <c r="D16" s="236"/>
      <c r="G16" s="228" t="s">
        <v>34</v>
      </c>
      <c r="H16" s="229">
        <v>-31.5</v>
      </c>
      <c r="I16" s="230" t="s">
        <v>87</v>
      </c>
      <c r="J16" s="229"/>
      <c r="K16" s="229" t="s">
        <v>537</v>
      </c>
    </row>
    <row r="17" spans="1:12">
      <c r="A17" s="211"/>
      <c r="B17" s="236"/>
      <c r="C17" s="226"/>
      <c r="G17" s="228" t="s">
        <v>39</v>
      </c>
      <c r="H17" s="229">
        <v>-1.5</v>
      </c>
      <c r="I17" s="230" t="s">
        <v>87</v>
      </c>
      <c r="J17" s="229"/>
      <c r="K17" s="229" t="s">
        <v>538</v>
      </c>
    </row>
    <row r="18" spans="1:12">
      <c r="A18" s="237" t="s">
        <v>7</v>
      </c>
      <c r="C18" s="226"/>
      <c r="D18" s="226" t="s">
        <v>116</v>
      </c>
      <c r="G18" s="228" t="s">
        <v>479</v>
      </c>
      <c r="H18" s="229">
        <v>-5</v>
      </c>
      <c r="I18" s="230" t="s">
        <v>87</v>
      </c>
      <c r="J18" s="229"/>
      <c r="K18" s="229" t="s">
        <v>536</v>
      </c>
    </row>
    <row r="19" spans="1:12">
      <c r="A19" s="219" t="s">
        <v>35</v>
      </c>
      <c r="B19" s="202">
        <v>153458.32</v>
      </c>
      <c r="C19" s="226"/>
      <c r="G19" s="228" t="s">
        <v>68</v>
      </c>
      <c r="H19" s="229">
        <v>-185</v>
      </c>
      <c r="I19" s="230" t="s">
        <v>87</v>
      </c>
      <c r="J19" s="229" t="s">
        <v>502</v>
      </c>
      <c r="K19" s="229" t="s">
        <v>22</v>
      </c>
    </row>
    <row r="20" spans="1:12" ht="15" thickBot="1">
      <c r="A20" s="220" t="s">
        <v>37</v>
      </c>
      <c r="B20" s="203">
        <v>81199.44</v>
      </c>
      <c r="C20" s="226"/>
      <c r="G20" s="228" t="s">
        <v>70</v>
      </c>
      <c r="H20" s="229">
        <v>-28</v>
      </c>
      <c r="I20" s="230" t="s">
        <v>87</v>
      </c>
      <c r="J20" s="229" t="s">
        <v>503</v>
      </c>
      <c r="K20" s="229" t="s">
        <v>539</v>
      </c>
    </row>
    <row r="21" spans="1:12" ht="15" thickBot="1">
      <c r="A21" s="221" t="s">
        <v>38</v>
      </c>
      <c r="B21" s="204">
        <f>SUM(B19:B20)</f>
        <v>234657.76</v>
      </c>
      <c r="C21" s="226"/>
      <c r="G21" s="228" t="s">
        <v>552</v>
      </c>
      <c r="H21" s="229">
        <v>-85</v>
      </c>
      <c r="I21" s="230" t="s">
        <v>87</v>
      </c>
      <c r="J21" s="229" t="s">
        <v>502</v>
      </c>
      <c r="K21" s="229" t="s">
        <v>22</v>
      </c>
    </row>
    <row r="22" spans="1:12" ht="15" thickBot="1">
      <c r="A22" s="222" t="s">
        <v>40</v>
      </c>
      <c r="B22" s="205">
        <f>B23*0.2</f>
        <v>90000</v>
      </c>
      <c r="C22" s="226"/>
      <c r="D22" s="226" t="s">
        <v>73</v>
      </c>
      <c r="G22" s="228" t="s">
        <v>49</v>
      </c>
      <c r="H22" s="229">
        <v>-1100</v>
      </c>
      <c r="I22" s="230" t="s">
        <v>87</v>
      </c>
      <c r="J22" s="229" t="s">
        <v>502</v>
      </c>
      <c r="K22" s="229" t="s">
        <v>540</v>
      </c>
    </row>
    <row r="23" spans="1:12">
      <c r="A23" s="238" t="s">
        <v>43</v>
      </c>
      <c r="B23" s="248">
        <v>450000</v>
      </c>
      <c r="C23" s="226"/>
      <c r="G23" s="228" t="s">
        <v>74</v>
      </c>
      <c r="H23" s="229">
        <v>-11</v>
      </c>
      <c r="I23" s="230" t="s">
        <v>87</v>
      </c>
      <c r="J23" s="229"/>
      <c r="K23" s="229" t="s">
        <v>539</v>
      </c>
    </row>
    <row r="24" spans="1:12">
      <c r="A24" s="240" t="s">
        <v>46</v>
      </c>
      <c r="B24" s="247">
        <f>B23-SUM(B21:B22)</f>
        <v>125342.23999999999</v>
      </c>
      <c r="G24" s="228" t="s">
        <v>52</v>
      </c>
      <c r="H24" s="229">
        <v>-7.6</v>
      </c>
      <c r="I24" s="230" t="s">
        <v>87</v>
      </c>
      <c r="J24" s="229"/>
      <c r="K24" s="229" t="s">
        <v>537</v>
      </c>
    </row>
    <row r="25" spans="1:12">
      <c r="G25" s="228" t="s">
        <v>54</v>
      </c>
      <c r="H25" s="229">
        <v>-30</v>
      </c>
      <c r="I25" s="230" t="s">
        <v>87</v>
      </c>
      <c r="J25" s="229"/>
      <c r="K25" s="229" t="s">
        <v>202</v>
      </c>
    </row>
    <row r="26" spans="1:12">
      <c r="G26" s="228" t="s">
        <v>55</v>
      </c>
      <c r="H26" s="229">
        <v>-31</v>
      </c>
      <c r="I26" s="230" t="s">
        <v>87</v>
      </c>
      <c r="J26" s="229"/>
      <c r="K26" s="229" t="s">
        <v>536</v>
      </c>
    </row>
    <row r="27" spans="1:12">
      <c r="G27" s="228" t="s">
        <v>56</v>
      </c>
      <c r="H27" s="229">
        <v>-80</v>
      </c>
      <c r="I27" s="230" t="s">
        <v>87</v>
      </c>
      <c r="J27" s="229" t="s">
        <v>502</v>
      </c>
      <c r="K27" s="229" t="s">
        <v>22</v>
      </c>
    </row>
    <row r="28" spans="1:12">
      <c r="G28" s="228" t="s">
        <v>78</v>
      </c>
      <c r="H28" s="229">
        <v>-18</v>
      </c>
      <c r="I28" s="230" t="s">
        <v>87</v>
      </c>
      <c r="J28" s="229"/>
      <c r="K28" s="229" t="s">
        <v>537</v>
      </c>
      <c r="L28" s="242"/>
    </row>
    <row r="29" spans="1:12">
      <c r="G29" s="228" t="s">
        <v>552</v>
      </c>
      <c r="H29" s="229">
        <v>-657.22</v>
      </c>
      <c r="I29" s="230" t="s">
        <v>87</v>
      </c>
      <c r="J29" s="229"/>
      <c r="K29" s="229" t="s">
        <v>22</v>
      </c>
    </row>
    <row r="30" spans="1:12">
      <c r="A30" s="31" t="s">
        <v>509</v>
      </c>
      <c r="G30" s="228" t="s">
        <v>79</v>
      </c>
      <c r="H30" s="229">
        <v>-12</v>
      </c>
      <c r="I30" s="230" t="s">
        <v>87</v>
      </c>
      <c r="J30" s="229"/>
      <c r="K30" s="229" t="s">
        <v>537</v>
      </c>
    </row>
    <row r="31" spans="1:12" ht="15.5">
      <c r="A31" s="243">
        <v>1104841580</v>
      </c>
      <c r="F31" s="30"/>
      <c r="G31" s="228" t="s">
        <v>80</v>
      </c>
      <c r="H31" s="229">
        <v>-33</v>
      </c>
      <c r="I31" s="230" t="s">
        <v>87</v>
      </c>
      <c r="J31" s="229"/>
      <c r="K31" s="229" t="s">
        <v>202</v>
      </c>
    </row>
    <row r="32" spans="1:12">
      <c r="F32" s="30"/>
      <c r="G32" s="228" t="s">
        <v>144</v>
      </c>
      <c r="H32" s="229">
        <v>-100</v>
      </c>
      <c r="I32" s="230" t="s">
        <v>87</v>
      </c>
      <c r="J32" s="229"/>
      <c r="K32" s="229" t="s">
        <v>541</v>
      </c>
    </row>
    <row r="33" spans="6:11">
      <c r="F33" s="30"/>
      <c r="G33" s="228" t="s">
        <v>62</v>
      </c>
      <c r="H33" s="229">
        <v>-20</v>
      </c>
      <c r="I33" s="230" t="s">
        <v>87</v>
      </c>
      <c r="J33" s="244" t="s">
        <v>514</v>
      </c>
      <c r="K33" s="229" t="s">
        <v>542</v>
      </c>
    </row>
    <row r="34" spans="6:11">
      <c r="F34" s="30"/>
      <c r="G34" s="228" t="s">
        <v>84</v>
      </c>
      <c r="H34" s="229">
        <v>-127</v>
      </c>
      <c r="I34" s="230" t="s">
        <v>87</v>
      </c>
      <c r="J34" s="244"/>
      <c r="K34" s="229" t="s">
        <v>535</v>
      </c>
    </row>
    <row r="35" spans="6:11">
      <c r="F35" s="30"/>
      <c r="G35" s="244" t="s">
        <v>555</v>
      </c>
      <c r="H35" s="229">
        <v>-150</v>
      </c>
      <c r="I35" s="230" t="s">
        <v>87</v>
      </c>
      <c r="J35" s="244"/>
      <c r="K35" s="229" t="s">
        <v>202</v>
      </c>
    </row>
    <row r="36" spans="6:11">
      <c r="F36" s="30"/>
      <c r="G36" s="244" t="s">
        <v>464</v>
      </c>
      <c r="H36" s="229">
        <v>-27</v>
      </c>
      <c r="I36" s="230" t="s">
        <v>87</v>
      </c>
      <c r="J36" s="244"/>
      <c r="K36" s="229" t="s">
        <v>22</v>
      </c>
    </row>
    <row r="37" spans="6:11">
      <c r="F37" s="30"/>
      <c r="G37" s="244" t="s">
        <v>556</v>
      </c>
      <c r="H37" s="229">
        <v>-620.91999999999996</v>
      </c>
      <c r="I37" s="230" t="s">
        <v>87</v>
      </c>
      <c r="J37" s="244"/>
      <c r="K37" s="229" t="s">
        <v>22</v>
      </c>
    </row>
    <row r="38" spans="6:11">
      <c r="F38" s="30"/>
      <c r="G38" s="244" t="s">
        <v>557</v>
      </c>
      <c r="H38" s="229">
        <v>-250</v>
      </c>
      <c r="I38" s="230" t="s">
        <v>87</v>
      </c>
      <c r="J38" s="244" t="s">
        <v>502</v>
      </c>
      <c r="K38" s="229"/>
    </row>
    <row r="39" spans="6:11">
      <c r="F39" s="30"/>
      <c r="G39" s="244"/>
      <c r="H39" s="229"/>
      <c r="I39" s="230" t="s">
        <v>8</v>
      </c>
      <c r="J39" s="244"/>
      <c r="K39" s="229"/>
    </row>
    <row r="40" spans="6:11">
      <c r="F40" s="30"/>
      <c r="G40" s="244"/>
      <c r="H40" s="229"/>
      <c r="I40" s="230" t="s">
        <v>8</v>
      </c>
      <c r="J40" s="244"/>
      <c r="K40" s="229"/>
    </row>
    <row r="41" spans="6:11">
      <c r="F41" s="30"/>
      <c r="G41" s="244"/>
      <c r="H41" s="229"/>
      <c r="I41" s="230" t="s">
        <v>8</v>
      </c>
      <c r="J41" s="244"/>
      <c r="K41" s="229"/>
    </row>
    <row r="42" spans="6:11">
      <c r="F42" s="30"/>
      <c r="G42" s="244"/>
      <c r="H42" s="229"/>
      <c r="I42" s="230" t="s">
        <v>8</v>
      </c>
      <c r="J42" s="244"/>
      <c r="K42" s="229"/>
    </row>
    <row r="43" spans="6:11">
      <c r="F43" s="30"/>
      <c r="G43" s="244"/>
      <c r="H43" s="229"/>
      <c r="I43" s="230" t="s">
        <v>8</v>
      </c>
      <c r="J43" s="244"/>
      <c r="K43" s="229"/>
    </row>
    <row r="44" spans="6:11">
      <c r="F44" s="30"/>
      <c r="G44" s="244"/>
      <c r="H44" s="229"/>
      <c r="I44" s="230" t="s">
        <v>8</v>
      </c>
      <c r="J44" s="244"/>
      <c r="K44" s="229"/>
    </row>
    <row r="45" spans="6:11">
      <c r="F45" s="30"/>
      <c r="G45" s="244"/>
      <c r="H45" s="229"/>
      <c r="I45" s="230" t="s">
        <v>8</v>
      </c>
      <c r="J45" s="244"/>
      <c r="K45" s="229"/>
    </row>
    <row r="46" spans="6:11">
      <c r="F46" s="30"/>
      <c r="G46" s="244"/>
      <c r="H46" s="229"/>
      <c r="I46" s="230" t="s">
        <v>8</v>
      </c>
      <c r="J46" s="244"/>
      <c r="K46" s="229"/>
    </row>
    <row r="47" spans="6:11">
      <c r="G47" s="244"/>
      <c r="H47" s="229"/>
      <c r="I47" s="230" t="s">
        <v>8</v>
      </c>
      <c r="J47" s="244"/>
      <c r="K47" s="229"/>
    </row>
  </sheetData>
  <conditionalFormatting sqref="G2:H11 J2:J31 G12 G13:H31 G33:H34">
    <cfRule type="expression" dxfId="174" priority="8">
      <formula>#REF!</formula>
    </cfRule>
  </conditionalFormatting>
  <conditionalFormatting sqref="I2:I3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73" priority="10">
      <formula>#REF!</formula>
    </cfRule>
  </conditionalFormatting>
  <conditionalFormatting sqref="I2:I47">
    <cfRule type="containsText" dxfId="172" priority="4" operator="containsText" text="No">
      <formula>NOT(ISERROR(SEARCH("No",I2)))</formula>
    </cfRule>
    <cfRule type="containsText" dxfId="171" priority="5" operator="containsText" text="yes">
      <formula>NOT(ISERROR(SEARCH("yes",I2)))</formula>
    </cfRule>
  </conditionalFormatting>
  <conditionalFormatting sqref="I38:I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70" priority="7">
      <formula>#REF!</formula>
    </cfRule>
  </conditionalFormatting>
  <conditionalFormatting sqref="J2:J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{86AA6BAA-121D-4285-95FC-9CCAAEFB8DBE}</x14:id>
        </ext>
      </extLst>
    </cfRule>
  </conditionalFormatting>
  <conditionalFormatting sqref="J38:J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{9E54EA6E-67DA-46A2-97E1-A54A82696C21}</x14:id>
        </ext>
      </extLst>
    </cfRule>
  </conditionalFormatting>
  <conditionalFormatting sqref="K2:K47 H35:H47">
    <cfRule type="expression" dxfId="169" priority="2">
      <formula>#REF!</formula>
    </cfRule>
  </conditionalFormatting>
  <conditionalFormatting sqref="K2:K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{DD8727A7-73CC-43D7-9816-354DD0A589B7}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AA6BAA-121D-4285-95FC-9CCAAEFB8D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9E54EA6E-67DA-46A2-97E1-A54A82696C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  <x14:conditionalFormatting xmlns:xm="http://schemas.microsoft.com/office/excel/2006/main">
          <x14:cfRule type="dataBar" id="{DD8727A7-73CC-43D7-9816-354DD0A589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K2:K47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0D10-D9D1-43ED-B75C-9FBE83EC5FE3}">
  <dimension ref="A1:IS46"/>
  <sheetViews>
    <sheetView zoomScale="160" zoomScaleNormal="160" workbookViewId="0">
      <selection activeCell="B4" sqref="B4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208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213" t="s">
        <v>6</v>
      </c>
      <c r="B2" s="119">
        <v>4954.8100000000004</v>
      </c>
      <c r="C2" s="3"/>
      <c r="D2" s="7" t="s">
        <v>484</v>
      </c>
      <c r="E2" s="4">
        <v>335</v>
      </c>
      <c r="G2" s="124" t="s">
        <v>7</v>
      </c>
      <c r="H2" s="125">
        <v>-1268.67</v>
      </c>
      <c r="I2" s="133" t="s">
        <v>87</v>
      </c>
      <c r="J2" s="125"/>
    </row>
    <row r="3" spans="1:10">
      <c r="A3" s="214" t="s">
        <v>9</v>
      </c>
      <c r="B3" s="192">
        <f>SUMIF(I2:I28,"Yes*",H2:H28)</f>
        <v>-4331.9499999999989</v>
      </c>
      <c r="C3" s="3"/>
      <c r="D3" s="6" t="s">
        <v>471</v>
      </c>
      <c r="E3" s="5">
        <v>111</v>
      </c>
      <c r="G3" s="124" t="s">
        <v>10</v>
      </c>
      <c r="H3" s="125">
        <v>-244.8</v>
      </c>
      <c r="I3" s="133" t="s">
        <v>87</v>
      </c>
      <c r="J3" s="125" t="s">
        <v>503</v>
      </c>
    </row>
    <row r="4" spans="1:10">
      <c r="A4" s="213" t="s">
        <v>12</v>
      </c>
      <c r="B4" s="119">
        <v>53.12</v>
      </c>
      <c r="C4" s="3"/>
      <c r="D4" s="24" t="s">
        <v>61</v>
      </c>
      <c r="E4" s="25">
        <v>250</v>
      </c>
      <c r="F4" s="9"/>
      <c r="G4" s="124" t="s">
        <v>14</v>
      </c>
      <c r="H4" s="125">
        <v>-33</v>
      </c>
      <c r="I4" s="133" t="s">
        <v>87</v>
      </c>
      <c r="J4" s="125"/>
    </row>
    <row r="5" spans="1:10" ht="15" thickBot="1">
      <c r="A5" s="215" t="s">
        <v>15</v>
      </c>
      <c r="B5" s="200">
        <f>SUMIF(I2:I37,"No",H2:H37)</f>
        <v>-10</v>
      </c>
      <c r="C5" s="3"/>
      <c r="D5" s="24" t="s">
        <v>62</v>
      </c>
      <c r="E5" s="25">
        <v>95</v>
      </c>
      <c r="G5" s="124" t="s">
        <v>17</v>
      </c>
      <c r="H5" s="125">
        <v>-39</v>
      </c>
      <c r="I5" s="133" t="s">
        <v>87</v>
      </c>
      <c r="J5" s="125"/>
    </row>
    <row r="6" spans="1:10" ht="15" thickBot="1">
      <c r="A6" s="216" t="s">
        <v>18</v>
      </c>
      <c r="B6" s="29">
        <f>B5+B4</f>
        <v>43.12</v>
      </c>
      <c r="C6" s="3" t="s">
        <v>19</v>
      </c>
      <c r="D6" s="24" t="s">
        <v>20</v>
      </c>
      <c r="E6" s="25">
        <v>355</v>
      </c>
      <c r="G6" s="124" t="s">
        <v>21</v>
      </c>
      <c r="H6" s="125">
        <v>-13.2</v>
      </c>
      <c r="I6" s="133" t="s">
        <v>87</v>
      </c>
      <c r="J6" s="125"/>
    </row>
    <row r="7" spans="1:10">
      <c r="A7" s="217" t="s">
        <v>504</v>
      </c>
      <c r="B7" s="201">
        <f>SUMIF(J2:J32,"f1",H2:H32)</f>
        <v>-1805</v>
      </c>
      <c r="C7" s="30"/>
      <c r="D7" s="24" t="s">
        <v>487</v>
      </c>
      <c r="E7" s="25">
        <v>275</v>
      </c>
      <c r="G7" s="124" t="s">
        <v>24</v>
      </c>
      <c r="H7" s="125">
        <v>-155</v>
      </c>
      <c r="I7" s="133" t="s">
        <v>87</v>
      </c>
      <c r="J7" s="125"/>
    </row>
    <row r="8" spans="1:10">
      <c r="A8" s="218" t="s">
        <v>505</v>
      </c>
      <c r="B8" s="194">
        <f>SUMIF(J2:J32,"f2",H2:H32)</f>
        <v>-304.8</v>
      </c>
      <c r="C8" s="30"/>
      <c r="D8" s="24" t="s">
        <v>478</v>
      </c>
      <c r="E8" s="25">
        <v>90</v>
      </c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218" t="s">
        <v>147</v>
      </c>
      <c r="B9" s="194">
        <f>SUMIF(J2:J32,"",H2:H32)</f>
        <v>-2627.15</v>
      </c>
      <c r="C9"/>
      <c r="D9" s="24"/>
      <c r="E9" s="25"/>
      <c r="G9" s="124" t="s">
        <v>27</v>
      </c>
      <c r="H9" s="125">
        <v>-20</v>
      </c>
      <c r="I9" s="133" t="s">
        <v>87</v>
      </c>
      <c r="J9" s="125"/>
    </row>
    <row r="10" spans="1:10" ht="15" thickBot="1">
      <c r="A10" s="209"/>
      <c r="B10" s="84"/>
      <c r="C10"/>
      <c r="D10" s="26" t="s">
        <v>28</v>
      </c>
      <c r="E10" s="27">
        <f>SUM(E2:E9)</f>
        <v>1511</v>
      </c>
      <c r="G10" s="124" t="s">
        <v>64</v>
      </c>
      <c r="H10" s="125">
        <v>-60</v>
      </c>
      <c r="I10" s="133" t="s">
        <v>87</v>
      </c>
      <c r="J10" s="125"/>
    </row>
    <row r="11" spans="1:10" ht="15" thickBot="1">
      <c r="A11" s="209"/>
      <c r="B11"/>
      <c r="C11"/>
      <c r="D11" s="26" t="s">
        <v>501</v>
      </c>
      <c r="E11" s="27">
        <v>1006.73</v>
      </c>
      <c r="G11" s="124" t="s">
        <v>30</v>
      </c>
      <c r="H11" s="125">
        <v>-4.99</v>
      </c>
      <c r="I11" s="133" t="s">
        <v>87</v>
      </c>
      <c r="J11" s="125"/>
    </row>
    <row r="12" spans="1:10" ht="15" thickBot="1">
      <c r="A12" s="210"/>
      <c r="B12" s="116"/>
      <c r="C12"/>
      <c r="D12" s="26" t="s">
        <v>506</v>
      </c>
      <c r="E12" s="27">
        <v>1100.58</v>
      </c>
      <c r="G12" s="124" t="s">
        <v>57</v>
      </c>
      <c r="H12" s="126">
        <v>-27</v>
      </c>
      <c r="I12" s="133" t="s">
        <v>87</v>
      </c>
      <c r="J12" s="125"/>
    </row>
    <row r="13" spans="1:10" ht="14">
      <c r="A13" s="209"/>
      <c r="B13"/>
      <c r="C13"/>
      <c r="G13" s="124" t="s">
        <v>33</v>
      </c>
      <c r="H13" s="125">
        <v>-225</v>
      </c>
      <c r="I13" s="133" t="s">
        <v>87</v>
      </c>
      <c r="J13" s="125"/>
    </row>
    <row r="14" spans="1:10">
      <c r="A14" s="21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211"/>
      <c r="B15" s="113">
        <v>891.38</v>
      </c>
      <c r="C15"/>
      <c r="D15">
        <v>4674</v>
      </c>
      <c r="G15" s="124" t="s">
        <v>470</v>
      </c>
      <c r="H15" s="125">
        <v>-10</v>
      </c>
      <c r="I15" s="133" t="s">
        <v>8</v>
      </c>
      <c r="J15" s="125"/>
    </row>
    <row r="16" spans="1:10">
      <c r="A16" s="21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211"/>
      <c r="B17" s="113"/>
      <c r="C17"/>
      <c r="D17" t="s">
        <v>481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212" t="s">
        <v>7</v>
      </c>
      <c r="B18"/>
      <c r="C18"/>
      <c r="D18" t="s">
        <v>482</v>
      </c>
      <c r="G18" s="124" t="s">
        <v>479</v>
      </c>
      <c r="H18" s="125">
        <v>-5</v>
      </c>
      <c r="I18" s="133" t="s">
        <v>87</v>
      </c>
      <c r="J18" s="125"/>
    </row>
    <row r="19" spans="1:11" ht="14">
      <c r="A19" s="219" t="s">
        <v>35</v>
      </c>
      <c r="B19" s="202">
        <v>154131.53</v>
      </c>
      <c r="C19"/>
      <c r="D19" t="s">
        <v>483</v>
      </c>
      <c r="G19" s="124" t="s">
        <v>68</v>
      </c>
      <c r="H19" s="125">
        <v>-800</v>
      </c>
      <c r="I19" s="133" t="s">
        <v>87</v>
      </c>
      <c r="J19" s="125" t="s">
        <v>502</v>
      </c>
    </row>
    <row r="20" spans="1:11" thickBot="1">
      <c r="A20" s="220" t="s">
        <v>37</v>
      </c>
      <c r="B20" s="203">
        <v>81555.67</v>
      </c>
      <c r="C20"/>
      <c r="D20" t="s">
        <v>69</v>
      </c>
      <c r="G20" s="124" t="s">
        <v>70</v>
      </c>
      <c r="H20" s="125">
        <v>-27</v>
      </c>
      <c r="I20" s="133" t="s">
        <v>87</v>
      </c>
      <c r="J20" s="125" t="s">
        <v>503</v>
      </c>
    </row>
    <row r="21" spans="1:11" thickBot="1">
      <c r="A21" s="221" t="s">
        <v>38</v>
      </c>
      <c r="B21" s="204">
        <f>SUM(B19:B20)</f>
        <v>235687.2</v>
      </c>
      <c r="C21"/>
      <c r="D21" t="s">
        <v>71</v>
      </c>
      <c r="G21" s="124" t="s">
        <v>72</v>
      </c>
      <c r="H21" s="125">
        <v>-5</v>
      </c>
      <c r="I21" s="133" t="s">
        <v>87</v>
      </c>
      <c r="J21" s="125" t="s">
        <v>502</v>
      </c>
    </row>
    <row r="22" spans="1:11" thickBot="1">
      <c r="A22" s="222" t="s">
        <v>40</v>
      </c>
      <c r="B22" s="205">
        <f>B23*0.2</f>
        <v>90000</v>
      </c>
      <c r="C22"/>
      <c r="D22" t="s">
        <v>73</v>
      </c>
      <c r="G22" s="124" t="s">
        <v>49</v>
      </c>
      <c r="H22" s="125">
        <v>-850</v>
      </c>
      <c r="I22" s="133" t="s">
        <v>87</v>
      </c>
      <c r="J22" s="125" t="s">
        <v>502</v>
      </c>
    </row>
    <row r="23" spans="1:11" ht="14">
      <c r="A23" s="223" t="s">
        <v>43</v>
      </c>
      <c r="B23" s="206">
        <v>450000</v>
      </c>
      <c r="C23"/>
      <c r="D23"/>
      <c r="G23" s="124" t="s">
        <v>74</v>
      </c>
      <c r="H23" s="125">
        <v>-11</v>
      </c>
      <c r="I23" s="133" t="s">
        <v>87</v>
      </c>
      <c r="J23" s="125"/>
    </row>
    <row r="24" spans="1:11">
      <c r="A24" s="224" t="s">
        <v>46</v>
      </c>
      <c r="B24" s="207">
        <f>B23-SUM(B21:B22)</f>
        <v>124312.79999999999</v>
      </c>
      <c r="C24" s="32"/>
      <c r="D24" s="3" t="s">
        <v>507</v>
      </c>
      <c r="G24" s="124" t="s">
        <v>52</v>
      </c>
      <c r="H24" s="125">
        <v>-7.6</v>
      </c>
      <c r="I24" s="133" t="s">
        <v>87</v>
      </c>
      <c r="J24" s="125"/>
    </row>
    <row r="25" spans="1:11">
      <c r="A25" s="31"/>
      <c r="C25" s="32"/>
      <c r="D25" s="3" t="s">
        <v>508</v>
      </c>
      <c r="G25" s="124" t="s">
        <v>116</v>
      </c>
      <c r="H25" s="125">
        <v>-250</v>
      </c>
      <c r="I25" s="133" t="s">
        <v>87</v>
      </c>
      <c r="J25" s="125"/>
    </row>
    <row r="26" spans="1:11">
      <c r="A26" s="31"/>
      <c r="C26" s="32"/>
      <c r="G26" s="124" t="s">
        <v>55</v>
      </c>
      <c r="H26" s="125">
        <v>-31</v>
      </c>
      <c r="I26" s="133" t="s">
        <v>87</v>
      </c>
      <c r="J26" s="125"/>
    </row>
    <row r="27" spans="1:11">
      <c r="A27" s="31"/>
      <c r="C27" s="32"/>
      <c r="G27" s="124" t="s">
        <v>56</v>
      </c>
      <c r="H27" s="125">
        <v>-150</v>
      </c>
      <c r="I27" s="133" t="s">
        <v>87</v>
      </c>
      <c r="J27" s="125" t="s">
        <v>502</v>
      </c>
    </row>
    <row r="28" spans="1:11">
      <c r="A28" s="31"/>
      <c r="C28" s="32"/>
      <c r="G28" s="124" t="s">
        <v>78</v>
      </c>
      <c r="H28" s="125">
        <v>-18</v>
      </c>
      <c r="I28" s="133" t="s">
        <v>87</v>
      </c>
      <c r="J28" s="125"/>
      <c r="K28" s="15"/>
    </row>
    <row r="29" spans="1:11">
      <c r="A29" s="31"/>
      <c r="C29" s="32"/>
      <c r="G29" s="124" t="s">
        <v>57</v>
      </c>
      <c r="H29" s="125">
        <v>-33</v>
      </c>
      <c r="I29" s="133" t="s">
        <v>87</v>
      </c>
      <c r="J29" s="125" t="s">
        <v>503</v>
      </c>
    </row>
    <row r="30" spans="1:11">
      <c r="A30" s="31"/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31"/>
      <c r="C31" s="32"/>
      <c r="F31" s="30"/>
      <c r="G31" s="124" t="s">
        <v>80</v>
      </c>
      <c r="H31" s="125">
        <v>-60</v>
      </c>
      <c r="I31" s="133" t="s">
        <v>87</v>
      </c>
      <c r="J31" s="125"/>
    </row>
    <row r="32" spans="1:11">
      <c r="A32" s="31"/>
      <c r="C32" s="32"/>
      <c r="F32" s="30"/>
      <c r="G32" s="124" t="s">
        <v>144</v>
      </c>
      <c r="H32" s="125">
        <v>-290</v>
      </c>
      <c r="I32" s="133" t="s">
        <v>87</v>
      </c>
      <c r="J32" s="125"/>
    </row>
    <row r="33" spans="1:10">
      <c r="A33" s="31"/>
      <c r="C33" s="32"/>
      <c r="F33" s="30"/>
      <c r="G33" s="124" t="s">
        <v>62</v>
      </c>
      <c r="H33" s="125">
        <v>-20</v>
      </c>
      <c r="I33" s="133" t="s">
        <v>87</v>
      </c>
      <c r="J33" s="17"/>
    </row>
    <row r="34" spans="1:10">
      <c r="A34" s="31"/>
      <c r="C34" s="32"/>
      <c r="F34" s="30"/>
      <c r="G34" s="124" t="s">
        <v>84</v>
      </c>
      <c r="H34" s="125">
        <v>-127</v>
      </c>
      <c r="I34" s="133" t="s">
        <v>87</v>
      </c>
      <c r="J34" s="17"/>
    </row>
    <row r="35" spans="1:10">
      <c r="F35" s="30"/>
      <c r="G35" s="17" t="s">
        <v>494</v>
      </c>
      <c r="H35" s="125">
        <v>-5</v>
      </c>
      <c r="I35" s="133" t="s">
        <v>87</v>
      </c>
      <c r="J35" s="17"/>
    </row>
    <row r="36" spans="1:10">
      <c r="F36" s="30"/>
      <c r="G36" s="17" t="s">
        <v>495</v>
      </c>
      <c r="H36" s="125">
        <v>-50</v>
      </c>
      <c r="I36" s="133" t="s">
        <v>87</v>
      </c>
      <c r="J36" s="17"/>
    </row>
    <row r="37" spans="1:10">
      <c r="F37" s="30"/>
      <c r="G37" s="17" t="s">
        <v>202</v>
      </c>
      <c r="H37" s="125">
        <v>-1100</v>
      </c>
      <c r="I37" s="133" t="s">
        <v>87</v>
      </c>
      <c r="J37" s="17"/>
    </row>
    <row r="38" spans="1:10">
      <c r="F38" s="30"/>
    </row>
    <row r="39" spans="1:10">
      <c r="F39" s="30"/>
    </row>
    <row r="40" spans="1:10">
      <c r="F40" s="30"/>
    </row>
    <row r="41" spans="1:10">
      <c r="F41" s="30"/>
    </row>
    <row r="42" spans="1:10">
      <c r="F42" s="30"/>
    </row>
    <row r="43" spans="1:10">
      <c r="F43" s="30"/>
    </row>
    <row r="44" spans="1:10">
      <c r="F44" s="30"/>
    </row>
    <row r="45" spans="1:10">
      <c r="F45" s="30"/>
    </row>
    <row r="46" spans="1:10">
      <c r="F46" s="30"/>
    </row>
  </sheetData>
  <autoFilter ref="G1:J32" xr:uid="{00000000-0009-0000-0000-000001000000}"/>
  <phoneticPr fontId="21" type="noConversion"/>
  <conditionalFormatting sqref="G2:H11 J2:J31 G12 G13:H31 G33:H34">
    <cfRule type="expression" dxfId="168" priority="6">
      <formula>#REF!</formula>
    </cfRule>
  </conditionalFormatting>
  <conditionalFormatting sqref="H35:H37">
    <cfRule type="expression" dxfId="167" priority="5">
      <formula>#REF!</formula>
    </cfRule>
  </conditionalFormatting>
  <conditionalFormatting sqref="I2:I37">
    <cfRule type="containsText" dxfId="166" priority="17" operator="containsText" text="No">
      <formula>NOT(ISERROR(SEARCH("No",I2)))</formula>
    </cfRule>
    <cfRule type="containsText" dxfId="165" priority="18" operator="containsText" text="yes">
      <formula>NOT(ISERROR(SEARCH("yes",I2)))</formula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64" priority="20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{9DB46AEE-9235-49A9-82B6-F36B11DEDEEC}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B46AEE-9235-49A9-82B6-F36B11DEDE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FFC4-53BC-436E-AECA-B79EF9E76FB8}">
  <dimension ref="A1:L47"/>
  <sheetViews>
    <sheetView zoomScale="145" zoomScaleNormal="145" workbookViewId="0"/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8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10.08203125" bestFit="1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  <c r="K1" s="227" t="s">
        <v>534</v>
      </c>
    </row>
    <row r="2" spans="1:11">
      <c r="A2" s="213" t="s">
        <v>6</v>
      </c>
      <c r="B2" s="119">
        <v>5205.3</v>
      </c>
      <c r="C2" s="226"/>
      <c r="D2" s="7"/>
      <c r="E2" s="4"/>
      <c r="G2" s="228" t="s">
        <v>7</v>
      </c>
      <c r="H2" s="229">
        <v>-1268.67</v>
      </c>
      <c r="I2" s="230" t="s">
        <v>87</v>
      </c>
      <c r="J2" s="229"/>
      <c r="K2" s="229" t="s">
        <v>535</v>
      </c>
    </row>
    <row r="3" spans="1:11">
      <c r="A3" s="214" t="s">
        <v>9</v>
      </c>
      <c r="B3" s="192">
        <f>SUMIF(I2:I47,"Yes*",H2:H47)</f>
        <v>-6163.26</v>
      </c>
      <c r="C3" s="226"/>
      <c r="D3" s="6" t="s">
        <v>520</v>
      </c>
      <c r="E3" s="5">
        <v>100</v>
      </c>
      <c r="G3" s="228" t="s">
        <v>545</v>
      </c>
      <c r="H3" s="229"/>
      <c r="I3" s="230" t="s">
        <v>8</v>
      </c>
      <c r="J3" s="229" t="s">
        <v>514</v>
      </c>
      <c r="K3" s="229" t="s">
        <v>202</v>
      </c>
    </row>
    <row r="4" spans="1:11" outlineLevel="1">
      <c r="A4" s="213" t="s">
        <v>12</v>
      </c>
      <c r="B4" s="119">
        <v>518.36</v>
      </c>
      <c r="C4" s="226"/>
      <c r="D4" s="24" t="s">
        <v>524</v>
      </c>
      <c r="E4" s="25">
        <v>100</v>
      </c>
      <c r="F4" s="231"/>
      <c r="G4" s="228" t="s">
        <v>14</v>
      </c>
      <c r="H4" s="229">
        <v>-37</v>
      </c>
      <c r="I4" s="230" t="s">
        <v>87</v>
      </c>
      <c r="J4" s="229"/>
      <c r="K4" s="229" t="s">
        <v>536</v>
      </c>
    </row>
    <row r="5" spans="1:11" ht="15" thickBot="1">
      <c r="A5" s="215" t="s">
        <v>15</v>
      </c>
      <c r="B5" s="200">
        <f>SUMIF(I2:I47,"No",H2:H47)</f>
        <v>-466.87</v>
      </c>
      <c r="C5" s="226"/>
      <c r="D5" s="24" t="s">
        <v>522</v>
      </c>
      <c r="E5" s="25">
        <v>60</v>
      </c>
      <c r="G5" s="228" t="s">
        <v>17</v>
      </c>
      <c r="H5" s="229">
        <v>-39</v>
      </c>
      <c r="I5" s="230" t="s">
        <v>87</v>
      </c>
      <c r="J5" s="229"/>
      <c r="K5" s="229" t="s">
        <v>536</v>
      </c>
    </row>
    <row r="6" spans="1:11" ht="15" thickBot="1">
      <c r="A6" s="216" t="s">
        <v>18</v>
      </c>
      <c r="B6" s="29">
        <f>B5+B4</f>
        <v>51.490000000000009</v>
      </c>
      <c r="C6" s="226" t="s">
        <v>19</v>
      </c>
      <c r="D6" s="24" t="s">
        <v>526</v>
      </c>
      <c r="E6" s="25">
        <v>520</v>
      </c>
      <c r="G6" s="228" t="s">
        <v>21</v>
      </c>
      <c r="H6" s="229">
        <v>-15</v>
      </c>
      <c r="I6" s="230" t="s">
        <v>87</v>
      </c>
      <c r="J6" s="229"/>
      <c r="K6" s="229" t="s">
        <v>537</v>
      </c>
    </row>
    <row r="7" spans="1:11">
      <c r="A7" s="217" t="s">
        <v>504</v>
      </c>
      <c r="B7" s="201">
        <f>SUMIF(J2:J47,"f1",H2:H47)</f>
        <v>-1845</v>
      </c>
      <c r="C7" s="30"/>
      <c r="D7" s="24" t="s">
        <v>548</v>
      </c>
      <c r="E7" s="25">
        <v>200</v>
      </c>
      <c r="G7" s="228" t="s">
        <v>24</v>
      </c>
      <c r="H7" s="229">
        <v>-155</v>
      </c>
      <c r="I7" s="230" t="s">
        <v>87</v>
      </c>
      <c r="J7" s="229"/>
      <c r="K7" s="229" t="s">
        <v>537</v>
      </c>
    </row>
    <row r="8" spans="1:11">
      <c r="A8" s="218" t="s">
        <v>505</v>
      </c>
      <c r="B8" s="194">
        <f>SUMIF(J2:J47,"f2",H2:H47)</f>
        <v>-27</v>
      </c>
      <c r="C8" s="30"/>
      <c r="D8" s="24" t="s">
        <v>532</v>
      </c>
      <c r="E8" s="25">
        <v>0</v>
      </c>
      <c r="G8" s="228" t="s">
        <v>25</v>
      </c>
      <c r="H8" s="229">
        <v>-50</v>
      </c>
      <c r="I8" s="230" t="s">
        <v>87</v>
      </c>
      <c r="J8" s="229" t="s">
        <v>514</v>
      </c>
      <c r="K8" s="229" t="s">
        <v>536</v>
      </c>
    </row>
    <row r="9" spans="1:11">
      <c r="A9" s="218" t="s">
        <v>147</v>
      </c>
      <c r="B9" s="194">
        <f>SUMIF(J2:J47,"",H2:H47)</f>
        <v>-4208.13</v>
      </c>
      <c r="C9" s="226"/>
      <c r="D9" s="24" t="s">
        <v>525</v>
      </c>
      <c r="E9" s="25">
        <v>515</v>
      </c>
      <c r="G9" s="228" t="s">
        <v>27</v>
      </c>
      <c r="H9" s="229">
        <v>-20</v>
      </c>
      <c r="I9" s="230" t="s">
        <v>87</v>
      </c>
      <c r="J9" s="229"/>
      <c r="K9" s="229" t="s">
        <v>538</v>
      </c>
    </row>
    <row r="10" spans="1:11" ht="15" thickBot="1">
      <c r="A10" s="218" t="s">
        <v>202</v>
      </c>
      <c r="B10" s="194">
        <f>SUMIF(J2:J47,"s",H2:H47)</f>
        <v>-550</v>
      </c>
      <c r="C10" s="226"/>
      <c r="D10" s="24" t="s">
        <v>554</v>
      </c>
      <c r="E10" s="25">
        <v>30</v>
      </c>
      <c r="G10" s="228" t="s">
        <v>101</v>
      </c>
      <c r="H10" s="229">
        <v>-190</v>
      </c>
      <c r="I10" s="230" t="s">
        <v>87</v>
      </c>
      <c r="J10" s="229"/>
      <c r="K10" s="229" t="s">
        <v>202</v>
      </c>
    </row>
    <row r="11" spans="1:11" ht="15" thickBot="1">
      <c r="A11" s="232"/>
      <c r="C11" s="226"/>
      <c r="D11" s="26" t="s">
        <v>28</v>
      </c>
      <c r="E11" s="27">
        <f>SUM(E2:E10)</f>
        <v>1525</v>
      </c>
      <c r="G11" s="228" t="s">
        <v>30</v>
      </c>
      <c r="H11" s="229">
        <v>-4.99</v>
      </c>
      <c r="I11" s="230" t="s">
        <v>87</v>
      </c>
      <c r="J11" s="229"/>
      <c r="K11" s="229" t="s">
        <v>538</v>
      </c>
    </row>
    <row r="12" spans="1:11" ht="15" thickBot="1">
      <c r="A12" s="233"/>
      <c r="B12" s="234"/>
      <c r="C12" s="226"/>
      <c r="D12" s="26"/>
      <c r="E12" s="27"/>
      <c r="G12" s="228" t="s">
        <v>57</v>
      </c>
      <c r="H12" s="235">
        <v>-27</v>
      </c>
      <c r="I12" s="230" t="s">
        <v>87</v>
      </c>
      <c r="J12" s="229"/>
      <c r="K12" s="229" t="s">
        <v>538</v>
      </c>
    </row>
    <row r="13" spans="1:11" ht="15" thickBot="1">
      <c r="A13" s="27" t="s">
        <v>528</v>
      </c>
      <c r="B13" s="27">
        <v>12000</v>
      </c>
      <c r="C13" s="226"/>
      <c r="D13" s="26" t="s">
        <v>543</v>
      </c>
      <c r="E13" s="27">
        <v>4828.1000000000004</v>
      </c>
      <c r="G13" s="228" t="s">
        <v>33</v>
      </c>
      <c r="H13" s="229">
        <v>-225</v>
      </c>
      <c r="I13" s="230" t="s">
        <v>87</v>
      </c>
      <c r="J13" s="229"/>
      <c r="K13" s="229" t="s">
        <v>537</v>
      </c>
    </row>
    <row r="14" spans="1:11" ht="15" thickBot="1">
      <c r="A14" s="27" t="s">
        <v>501</v>
      </c>
      <c r="B14" s="27">
        <f>E12+E13</f>
        <v>4828.1000000000004</v>
      </c>
      <c r="C14" s="226"/>
      <c r="D14" s="26" t="s">
        <v>547</v>
      </c>
      <c r="E14" s="27">
        <v>1104.26</v>
      </c>
      <c r="G14" s="228" t="s">
        <v>34</v>
      </c>
      <c r="H14" s="229">
        <v>-13</v>
      </c>
      <c r="I14" s="230" t="s">
        <v>87</v>
      </c>
      <c r="J14" s="229"/>
      <c r="K14" s="229" t="s">
        <v>537</v>
      </c>
    </row>
    <row r="15" spans="1:11" ht="15" thickBot="1">
      <c r="A15" s="27" t="s">
        <v>529</v>
      </c>
      <c r="B15" s="27">
        <f>B13-B14</f>
        <v>7171.9</v>
      </c>
      <c r="C15" s="226"/>
      <c r="D15" s="26" t="s">
        <v>551</v>
      </c>
      <c r="E15" s="27">
        <v>1000</v>
      </c>
      <c r="G15" s="228" t="s">
        <v>470</v>
      </c>
      <c r="H15" s="229">
        <v>-10</v>
      </c>
      <c r="I15" s="230" t="s">
        <v>87</v>
      </c>
      <c r="J15" s="229"/>
      <c r="K15" s="229" t="s">
        <v>537</v>
      </c>
    </row>
    <row r="16" spans="1:11" ht="15" thickBot="1">
      <c r="A16" s="27" t="s">
        <v>530</v>
      </c>
      <c r="B16" s="246">
        <f>B14/B13</f>
        <v>0.40234166666666671</v>
      </c>
      <c r="C16" s="226"/>
      <c r="D16" s="236"/>
      <c r="G16" s="228" t="s">
        <v>34</v>
      </c>
      <c r="H16" s="229">
        <v>-31.5</v>
      </c>
      <c r="I16" s="230" t="s">
        <v>87</v>
      </c>
      <c r="J16" s="229"/>
      <c r="K16" s="229" t="s">
        <v>537</v>
      </c>
    </row>
    <row r="17" spans="1:12">
      <c r="A17" s="211"/>
      <c r="B17" s="236"/>
      <c r="C17" s="226"/>
      <c r="G17" s="228" t="s">
        <v>39</v>
      </c>
      <c r="H17" s="229">
        <v>-1.5</v>
      </c>
      <c r="I17" s="230" t="s">
        <v>87</v>
      </c>
      <c r="J17" s="229"/>
      <c r="K17" s="229" t="s">
        <v>538</v>
      </c>
    </row>
    <row r="18" spans="1:12">
      <c r="A18" s="237" t="s">
        <v>7</v>
      </c>
      <c r="C18" s="226"/>
      <c r="G18" s="228" t="s">
        <v>479</v>
      </c>
      <c r="H18" s="229">
        <v>-5</v>
      </c>
      <c r="I18" s="230" t="s">
        <v>87</v>
      </c>
      <c r="J18" s="229"/>
      <c r="K18" s="229" t="s">
        <v>536</v>
      </c>
    </row>
    <row r="19" spans="1:12">
      <c r="A19" s="219" t="s">
        <v>35</v>
      </c>
      <c r="B19" s="202">
        <v>153239.09</v>
      </c>
      <c r="C19" s="226"/>
      <c r="G19" s="228" t="s">
        <v>68</v>
      </c>
      <c r="H19" s="229">
        <v>-800</v>
      </c>
      <c r="I19" s="230" t="s">
        <v>87</v>
      </c>
      <c r="J19" s="229" t="s">
        <v>502</v>
      </c>
      <c r="K19" s="229" t="s">
        <v>22</v>
      </c>
    </row>
    <row r="20" spans="1:12" ht="15" thickBot="1">
      <c r="A20" s="220" t="s">
        <v>37</v>
      </c>
      <c r="B20" s="203">
        <v>81083.429999999993</v>
      </c>
      <c r="C20" s="226"/>
      <c r="G20" s="228" t="s">
        <v>70</v>
      </c>
      <c r="H20" s="229">
        <v>-27</v>
      </c>
      <c r="I20" s="230" t="s">
        <v>87</v>
      </c>
      <c r="J20" s="229" t="s">
        <v>503</v>
      </c>
      <c r="K20" s="229" t="s">
        <v>539</v>
      </c>
    </row>
    <row r="21" spans="1:12" ht="15" thickBot="1">
      <c r="A21" s="221" t="s">
        <v>38</v>
      </c>
      <c r="B21" s="204">
        <f>SUM(B19:B20)</f>
        <v>234322.52</v>
      </c>
      <c r="C21" s="226"/>
      <c r="G21" s="228" t="s">
        <v>72</v>
      </c>
      <c r="H21" s="229">
        <v>-65</v>
      </c>
      <c r="I21" s="230" t="s">
        <v>87</v>
      </c>
      <c r="J21" s="229" t="s">
        <v>502</v>
      </c>
      <c r="K21" s="229" t="s">
        <v>22</v>
      </c>
    </row>
    <row r="22" spans="1:12" ht="15" thickBot="1">
      <c r="A22" s="222" t="s">
        <v>40</v>
      </c>
      <c r="B22" s="205">
        <f>B23*0.2</f>
        <v>90000</v>
      </c>
      <c r="C22" s="226"/>
      <c r="D22" s="226" t="s">
        <v>73</v>
      </c>
      <c r="G22" s="228" t="s">
        <v>49</v>
      </c>
      <c r="H22" s="229">
        <v>-900</v>
      </c>
      <c r="I22" s="230" t="s">
        <v>87</v>
      </c>
      <c r="J22" s="229" t="s">
        <v>502</v>
      </c>
      <c r="K22" s="229" t="s">
        <v>540</v>
      </c>
    </row>
    <row r="23" spans="1:12">
      <c r="A23" s="238" t="s">
        <v>43</v>
      </c>
      <c r="B23" s="239">
        <v>450000</v>
      </c>
      <c r="C23" s="226"/>
      <c r="G23" s="228" t="s">
        <v>74</v>
      </c>
      <c r="H23" s="229">
        <v>-11</v>
      </c>
      <c r="I23" s="230" t="s">
        <v>87</v>
      </c>
      <c r="J23" s="229"/>
      <c r="K23" s="229" t="s">
        <v>539</v>
      </c>
    </row>
    <row r="24" spans="1:12">
      <c r="A24" s="240" t="s">
        <v>46</v>
      </c>
      <c r="B24" s="241">
        <f>B23-SUM(B21:B22)</f>
        <v>125677.47999999998</v>
      </c>
      <c r="G24" s="228" t="s">
        <v>52</v>
      </c>
      <c r="H24" s="229">
        <v>-7.6</v>
      </c>
      <c r="I24" s="230" t="s">
        <v>87</v>
      </c>
      <c r="J24" s="229"/>
      <c r="K24" s="229" t="s">
        <v>537</v>
      </c>
    </row>
    <row r="25" spans="1:12">
      <c r="G25" s="228" t="s">
        <v>63</v>
      </c>
      <c r="H25" s="229">
        <v>-280</v>
      </c>
      <c r="I25" s="230" t="s">
        <v>87</v>
      </c>
      <c r="J25" s="229" t="s">
        <v>514</v>
      </c>
      <c r="K25" s="229" t="s">
        <v>202</v>
      </c>
    </row>
    <row r="26" spans="1:12">
      <c r="G26" s="228" t="s">
        <v>55</v>
      </c>
      <c r="H26" s="229">
        <v>-31</v>
      </c>
      <c r="I26" s="230" t="s">
        <v>87</v>
      </c>
      <c r="J26" s="229"/>
      <c r="K26" s="229" t="s">
        <v>536</v>
      </c>
    </row>
    <row r="27" spans="1:12">
      <c r="G27" s="228" t="s">
        <v>56</v>
      </c>
      <c r="H27" s="229">
        <v>-80</v>
      </c>
      <c r="I27" s="230" t="s">
        <v>87</v>
      </c>
      <c r="J27" s="229" t="s">
        <v>502</v>
      </c>
      <c r="K27" s="229" t="s">
        <v>22</v>
      </c>
    </row>
    <row r="28" spans="1:12">
      <c r="G28" s="228" t="s">
        <v>78</v>
      </c>
      <c r="H28" s="229">
        <v>-18</v>
      </c>
      <c r="I28" s="230" t="s">
        <v>8</v>
      </c>
      <c r="J28" s="229"/>
      <c r="K28" s="229" t="s">
        <v>537</v>
      </c>
      <c r="L28" s="242"/>
    </row>
    <row r="29" spans="1:12">
      <c r="G29" s="228"/>
      <c r="H29" s="229"/>
      <c r="I29" s="230" t="s">
        <v>8</v>
      </c>
      <c r="J29" s="229" t="s">
        <v>503</v>
      </c>
      <c r="K29" s="229" t="s">
        <v>22</v>
      </c>
    </row>
    <row r="30" spans="1:12">
      <c r="A30" s="31" t="s">
        <v>509</v>
      </c>
      <c r="G30" s="228" t="s">
        <v>79</v>
      </c>
      <c r="H30" s="229">
        <v>-12</v>
      </c>
      <c r="I30" s="230" t="s">
        <v>87</v>
      </c>
      <c r="J30" s="229"/>
      <c r="K30" s="229" t="s">
        <v>537</v>
      </c>
    </row>
    <row r="31" spans="1:12" ht="15.5">
      <c r="A31" s="243">
        <v>1104841580</v>
      </c>
      <c r="F31" s="30"/>
      <c r="G31" s="228" t="s">
        <v>80</v>
      </c>
      <c r="H31" s="229">
        <v>-33</v>
      </c>
      <c r="I31" s="230" t="s">
        <v>87</v>
      </c>
      <c r="J31" s="229"/>
      <c r="K31" s="229" t="s">
        <v>202</v>
      </c>
    </row>
    <row r="32" spans="1:12">
      <c r="F32" s="30"/>
      <c r="G32" s="228" t="s">
        <v>144</v>
      </c>
      <c r="H32" s="229">
        <v>-100</v>
      </c>
      <c r="I32" s="230" t="s">
        <v>87</v>
      </c>
      <c r="J32" s="229"/>
      <c r="K32" s="229" t="s">
        <v>541</v>
      </c>
    </row>
    <row r="33" spans="6:11">
      <c r="F33" s="30"/>
      <c r="G33" s="228" t="s">
        <v>62</v>
      </c>
      <c r="H33" s="229">
        <v>-20</v>
      </c>
      <c r="I33" s="230" t="s">
        <v>87</v>
      </c>
      <c r="J33" s="244" t="s">
        <v>514</v>
      </c>
      <c r="K33" s="229" t="s">
        <v>542</v>
      </c>
    </row>
    <row r="34" spans="6:11">
      <c r="F34" s="30"/>
      <c r="G34" s="228" t="s">
        <v>84</v>
      </c>
      <c r="H34" s="229">
        <v>-127</v>
      </c>
      <c r="I34" s="230" t="s">
        <v>87</v>
      </c>
      <c r="J34" s="244"/>
      <c r="K34" s="229" t="s">
        <v>535</v>
      </c>
    </row>
    <row r="35" spans="6:11">
      <c r="F35" s="30"/>
      <c r="G35" s="244" t="s">
        <v>546</v>
      </c>
      <c r="H35" s="229">
        <v>-60</v>
      </c>
      <c r="I35" s="230" t="s">
        <v>87</v>
      </c>
      <c r="J35" s="244"/>
      <c r="K35" s="229" t="s">
        <v>202</v>
      </c>
    </row>
    <row r="36" spans="6:11">
      <c r="F36" s="30"/>
      <c r="G36" s="244" t="s">
        <v>464</v>
      </c>
      <c r="H36" s="229">
        <v>-27</v>
      </c>
      <c r="I36" s="230" t="s">
        <v>87</v>
      </c>
      <c r="J36" s="244"/>
      <c r="K36" s="229" t="s">
        <v>22</v>
      </c>
    </row>
    <row r="37" spans="6:11">
      <c r="F37" s="30"/>
      <c r="G37" s="244" t="s">
        <v>548</v>
      </c>
      <c r="H37" s="229">
        <v>-200</v>
      </c>
      <c r="I37" s="230" t="s">
        <v>87</v>
      </c>
      <c r="J37" s="244" t="s">
        <v>514</v>
      </c>
      <c r="K37" s="229"/>
    </row>
    <row r="38" spans="6:11">
      <c r="F38" s="30"/>
      <c r="G38" s="244" t="s">
        <v>549</v>
      </c>
      <c r="H38" s="229">
        <v>-1290</v>
      </c>
      <c r="I38" s="230" t="s">
        <v>87</v>
      </c>
      <c r="J38" s="244"/>
      <c r="K38" s="229"/>
    </row>
    <row r="39" spans="6:11">
      <c r="F39" s="30"/>
      <c r="G39" s="244"/>
      <c r="H39" s="229"/>
      <c r="I39" s="230" t="s">
        <v>8</v>
      </c>
      <c r="J39" s="244"/>
      <c r="K39" s="229"/>
    </row>
    <row r="40" spans="6:11">
      <c r="F40" s="30"/>
      <c r="G40" s="244" t="s">
        <v>553</v>
      </c>
      <c r="H40" s="229">
        <v>-448.87</v>
      </c>
      <c r="I40" s="230" t="s">
        <v>8</v>
      </c>
      <c r="J40" s="244"/>
      <c r="K40" s="229"/>
    </row>
    <row r="41" spans="6:11">
      <c r="F41" s="30"/>
      <c r="G41" s="244"/>
      <c r="H41" s="229"/>
      <c r="I41" s="230" t="s">
        <v>8</v>
      </c>
      <c r="J41" s="244"/>
      <c r="K41" s="229"/>
    </row>
    <row r="42" spans="6:11">
      <c r="F42" s="30"/>
      <c r="G42" s="244"/>
      <c r="H42" s="229"/>
      <c r="I42" s="230" t="s">
        <v>8</v>
      </c>
      <c r="J42" s="244"/>
      <c r="K42" s="229"/>
    </row>
    <row r="43" spans="6:11">
      <c r="F43" s="30"/>
      <c r="G43" s="244"/>
      <c r="H43" s="229"/>
      <c r="I43" s="230" t="s">
        <v>8</v>
      </c>
      <c r="J43" s="244"/>
      <c r="K43" s="229"/>
    </row>
    <row r="44" spans="6:11">
      <c r="F44" s="30"/>
      <c r="G44" s="244"/>
      <c r="H44" s="229"/>
      <c r="I44" s="230" t="s">
        <v>8</v>
      </c>
      <c r="J44" s="244"/>
      <c r="K44" s="229"/>
    </row>
    <row r="45" spans="6:11">
      <c r="F45" s="30"/>
      <c r="G45" s="244"/>
      <c r="H45" s="229"/>
      <c r="I45" s="230" t="s">
        <v>8</v>
      </c>
      <c r="J45" s="244"/>
      <c r="K45" s="229"/>
    </row>
    <row r="46" spans="6:11">
      <c r="F46" s="30"/>
      <c r="G46" s="244"/>
      <c r="H46" s="229"/>
      <c r="I46" s="230" t="s">
        <v>8</v>
      </c>
      <c r="J46" s="244"/>
      <c r="K46" s="229"/>
    </row>
    <row r="47" spans="6:11">
      <c r="G47" s="244"/>
      <c r="H47" s="229"/>
      <c r="I47" s="230" t="s">
        <v>8</v>
      </c>
      <c r="J47" s="244"/>
      <c r="K47" s="229"/>
    </row>
  </sheetData>
  <conditionalFormatting sqref="G2:H11 J2:J31 G12 G13:H31 G33:H34">
    <cfRule type="expression" dxfId="163" priority="8">
      <formula>#REF!</formula>
    </cfRule>
  </conditionalFormatting>
  <conditionalFormatting sqref="I2:I3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62" priority="10">
      <formula>#REF!</formula>
    </cfRule>
  </conditionalFormatting>
  <conditionalFormatting sqref="I2:I47">
    <cfRule type="containsText" dxfId="161" priority="4" operator="containsText" text="No">
      <formula>NOT(ISERROR(SEARCH("No",I2)))</formula>
    </cfRule>
    <cfRule type="containsText" dxfId="160" priority="5" operator="containsText" text="yes">
      <formula>NOT(ISERROR(SEARCH("yes",I2)))</formula>
    </cfRule>
  </conditionalFormatting>
  <conditionalFormatting sqref="I38:I4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59" priority="7">
      <formula>#REF!</formula>
    </cfRule>
  </conditionalFormatting>
  <conditionalFormatting sqref="J2:J3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{1FB67B45-534D-4A31-8B85-D50142B12354}</x14:id>
        </ext>
      </extLst>
    </cfRule>
  </conditionalFormatting>
  <conditionalFormatting sqref="J38:J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{81ED271C-E31E-428F-A77B-12DB8EC005A1}</x14:id>
        </ext>
      </extLst>
    </cfRule>
  </conditionalFormatting>
  <conditionalFormatting sqref="K2:K47 H35:H47">
    <cfRule type="expression" dxfId="158" priority="2">
      <formula>#REF!</formula>
    </cfRule>
  </conditionalFormatting>
  <conditionalFormatting sqref="K2:K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{E3EB1398-E296-48C2-BBCE-B8DC09851AC2}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B67B45-534D-4A31-8B85-D50142B123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81ED271C-E31E-428F-A77B-12DB8EC005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  <x14:conditionalFormatting xmlns:xm="http://schemas.microsoft.com/office/excel/2006/main">
          <x14:cfRule type="dataBar" id="{E3EB1398-E296-48C2-BBCE-B8DC09851A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K2:K47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F7FF-9F1B-43E5-895B-07E1298C57EA}">
  <dimension ref="A1:L47"/>
  <sheetViews>
    <sheetView zoomScale="145" zoomScaleNormal="145" workbookViewId="0">
      <selection activeCell="E49" sqref="E49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.5" style="226" bestFit="1" customWidth="1"/>
    <col min="5" max="5" width="10.5" style="226" customWidth="1"/>
    <col min="6" max="6" width="0.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10.08203125" bestFit="1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  <c r="K1" s="227" t="s">
        <v>534</v>
      </c>
    </row>
    <row r="2" spans="1:11">
      <c r="A2" s="213" t="s">
        <v>6</v>
      </c>
      <c r="B2" s="119">
        <v>5203.53</v>
      </c>
      <c r="C2" s="226"/>
      <c r="D2" s="7" t="s">
        <v>521</v>
      </c>
      <c r="E2" s="4">
        <v>45</v>
      </c>
      <c r="G2" s="228" t="s">
        <v>7</v>
      </c>
      <c r="H2" s="229">
        <v>-1268.67</v>
      </c>
      <c r="I2" s="230" t="s">
        <v>87</v>
      </c>
      <c r="J2" s="229"/>
      <c r="K2" s="229" t="s">
        <v>535</v>
      </c>
    </row>
    <row r="3" spans="1:11">
      <c r="A3" s="214" t="s">
        <v>9</v>
      </c>
      <c r="B3" s="192">
        <f>SUMIF(I2:I47,"Yes*",H2:H47)</f>
        <v>-5189.119999999999</v>
      </c>
      <c r="C3" s="226"/>
      <c r="D3" s="6" t="s">
        <v>520</v>
      </c>
      <c r="E3" s="5">
        <v>100</v>
      </c>
      <c r="G3" s="228" t="s">
        <v>10</v>
      </c>
      <c r="H3" s="229">
        <v>-244.8</v>
      </c>
      <c r="I3" s="230" t="s">
        <v>87</v>
      </c>
      <c r="J3" s="229" t="s">
        <v>514</v>
      </c>
      <c r="K3" s="229" t="s">
        <v>202</v>
      </c>
    </row>
    <row r="4" spans="1:11" outlineLevel="1">
      <c r="A4" s="213" t="s">
        <v>12</v>
      </c>
      <c r="B4" s="119">
        <v>35.57</v>
      </c>
      <c r="C4" s="226"/>
      <c r="D4" s="24" t="s">
        <v>524</v>
      </c>
      <c r="E4" s="25">
        <v>269</v>
      </c>
      <c r="F4" s="231"/>
      <c r="G4" s="228" t="s">
        <v>14</v>
      </c>
      <c r="H4" s="229">
        <v>-36.07</v>
      </c>
      <c r="I4" s="230" t="s">
        <v>87</v>
      </c>
      <c r="J4" s="229"/>
      <c r="K4" s="229" t="s">
        <v>536</v>
      </c>
    </row>
    <row r="5" spans="1:11" ht="15" thickBot="1">
      <c r="A5" s="215" t="s">
        <v>15</v>
      </c>
      <c r="B5" s="200">
        <f>SUMIF(I2:I47,"No",H2:H47)</f>
        <v>0</v>
      </c>
      <c r="C5" s="226"/>
      <c r="D5" s="24" t="s">
        <v>522</v>
      </c>
      <c r="E5" s="25">
        <v>40</v>
      </c>
      <c r="G5" s="228" t="s">
        <v>17</v>
      </c>
      <c r="H5" s="229">
        <v>-39</v>
      </c>
      <c r="I5" s="230" t="s">
        <v>87</v>
      </c>
      <c r="J5" s="229"/>
      <c r="K5" s="229" t="s">
        <v>536</v>
      </c>
    </row>
    <row r="6" spans="1:11" ht="15" thickBot="1">
      <c r="A6" s="216" t="s">
        <v>18</v>
      </c>
      <c r="B6" s="29">
        <f>B5+B4</f>
        <v>35.57</v>
      </c>
      <c r="C6" s="226" t="s">
        <v>19</v>
      </c>
      <c r="D6" s="24" t="s">
        <v>526</v>
      </c>
      <c r="E6" s="25">
        <v>470</v>
      </c>
      <c r="G6" s="228" t="s">
        <v>21</v>
      </c>
      <c r="H6" s="229">
        <v>-15</v>
      </c>
      <c r="I6" s="230" t="s">
        <v>87</v>
      </c>
      <c r="J6" s="229"/>
      <c r="K6" s="229" t="s">
        <v>537</v>
      </c>
    </row>
    <row r="7" spans="1:11">
      <c r="A7" s="217" t="s">
        <v>504</v>
      </c>
      <c r="B7" s="201">
        <f>SUMIF(J2:J47,"f1",H2:H47)</f>
        <v>-1825</v>
      </c>
      <c r="C7" s="30"/>
      <c r="D7" s="24" t="s">
        <v>523</v>
      </c>
      <c r="E7" s="25"/>
      <c r="G7" s="228" t="s">
        <v>24</v>
      </c>
      <c r="H7" s="229">
        <v>-155</v>
      </c>
      <c r="I7" s="230" t="s">
        <v>87</v>
      </c>
      <c r="J7" s="229"/>
      <c r="K7" s="229" t="s">
        <v>537</v>
      </c>
    </row>
    <row r="8" spans="1:11">
      <c r="A8" s="218" t="s">
        <v>505</v>
      </c>
      <c r="B8" s="194">
        <f>SUMIF(J2:J47,"f2",H2:H47)</f>
        <v>-127</v>
      </c>
      <c r="C8" s="30"/>
      <c r="D8" s="24" t="s">
        <v>532</v>
      </c>
      <c r="E8" s="25">
        <v>0</v>
      </c>
      <c r="G8" s="228" t="s">
        <v>25</v>
      </c>
      <c r="H8" s="229">
        <v>-60</v>
      </c>
      <c r="I8" s="230" t="s">
        <v>87</v>
      </c>
      <c r="J8" s="229" t="s">
        <v>514</v>
      </c>
      <c r="K8" s="229" t="s">
        <v>536</v>
      </c>
    </row>
    <row r="9" spans="1:11">
      <c r="A9" s="218" t="s">
        <v>147</v>
      </c>
      <c r="B9" s="194">
        <f>SUMIF(J2:J47,"",H2:H47)</f>
        <v>-2547.3199999999997</v>
      </c>
      <c r="C9" s="226"/>
      <c r="D9" s="24" t="s">
        <v>525</v>
      </c>
      <c r="E9" s="25">
        <v>250</v>
      </c>
      <c r="G9" s="228" t="s">
        <v>27</v>
      </c>
      <c r="H9" s="229">
        <v>-20</v>
      </c>
      <c r="I9" s="230" t="s">
        <v>87</v>
      </c>
      <c r="J9" s="229"/>
      <c r="K9" s="229" t="s">
        <v>538</v>
      </c>
    </row>
    <row r="10" spans="1:11" ht="15" thickBot="1">
      <c r="A10" s="218" t="s">
        <v>202</v>
      </c>
      <c r="B10" s="194">
        <f>SUMIF(J2:J47,"s",H2:H47)</f>
        <v>-689.8</v>
      </c>
      <c r="C10" s="226"/>
      <c r="D10" s="24"/>
      <c r="E10" s="25"/>
      <c r="G10" s="228" t="s">
        <v>64</v>
      </c>
      <c r="H10" s="229">
        <v>-65</v>
      </c>
      <c r="I10" s="230" t="s">
        <v>87</v>
      </c>
      <c r="J10" s="229" t="s">
        <v>514</v>
      </c>
      <c r="K10" s="229" t="s">
        <v>202</v>
      </c>
    </row>
    <row r="11" spans="1:11" ht="15" thickBot="1">
      <c r="A11" s="232"/>
      <c r="C11" s="226"/>
      <c r="D11" s="26" t="s">
        <v>28</v>
      </c>
      <c r="E11" s="27">
        <f>SUM(E2:E9)</f>
        <v>1174</v>
      </c>
      <c r="G11" s="228" t="s">
        <v>30</v>
      </c>
      <c r="H11" s="229">
        <v>-4.99</v>
      </c>
      <c r="I11" s="230" t="s">
        <v>87</v>
      </c>
      <c r="J11" s="229"/>
      <c r="K11" s="229" t="s">
        <v>538</v>
      </c>
    </row>
    <row r="12" spans="1:11" ht="15" thickBot="1">
      <c r="A12" s="233"/>
      <c r="B12" s="234"/>
      <c r="C12" s="226"/>
      <c r="D12" s="26" t="s">
        <v>501</v>
      </c>
      <c r="E12" s="27">
        <v>1317.13</v>
      </c>
      <c r="G12" s="228" t="s">
        <v>57</v>
      </c>
      <c r="H12" s="235">
        <v>-27</v>
      </c>
      <c r="I12" s="230" t="s">
        <v>87</v>
      </c>
      <c r="J12" s="229"/>
      <c r="K12" s="229" t="s">
        <v>538</v>
      </c>
    </row>
    <row r="13" spans="1:11" ht="15" thickBot="1">
      <c r="A13" s="27" t="s">
        <v>528</v>
      </c>
      <c r="B13" s="27">
        <v>12000</v>
      </c>
      <c r="C13" s="226"/>
      <c r="D13" s="26" t="s">
        <v>543</v>
      </c>
      <c r="E13" s="27">
        <v>4800</v>
      </c>
      <c r="G13" s="228" t="s">
        <v>33</v>
      </c>
      <c r="H13" s="229">
        <v>-225</v>
      </c>
      <c r="I13" s="230" t="s">
        <v>87</v>
      </c>
      <c r="J13" s="229"/>
      <c r="K13" s="229" t="s">
        <v>537</v>
      </c>
    </row>
    <row r="14" spans="1:11" ht="15" thickBot="1">
      <c r="A14" s="27" t="s">
        <v>501</v>
      </c>
      <c r="B14" s="27">
        <f>E12+E13</f>
        <v>6117.13</v>
      </c>
      <c r="C14" s="226"/>
      <c r="G14" s="228" t="s">
        <v>34</v>
      </c>
      <c r="H14" s="229">
        <v>-13</v>
      </c>
      <c r="I14" s="230" t="s">
        <v>87</v>
      </c>
      <c r="J14" s="229"/>
      <c r="K14" s="229" t="s">
        <v>537</v>
      </c>
    </row>
    <row r="15" spans="1:11" ht="15" thickBot="1">
      <c r="A15" s="27" t="s">
        <v>529</v>
      </c>
      <c r="B15" s="27">
        <f>B13-B14</f>
        <v>5882.87</v>
      </c>
      <c r="C15" s="226"/>
      <c r="D15" s="226">
        <v>4674</v>
      </c>
      <c r="G15" s="228" t="s">
        <v>470</v>
      </c>
      <c r="H15" s="229">
        <v>-10</v>
      </c>
      <c r="I15" s="230" t="s">
        <v>87</v>
      </c>
      <c r="J15" s="229"/>
      <c r="K15" s="229" t="s">
        <v>537</v>
      </c>
    </row>
    <row r="16" spans="1:11" ht="15" thickBot="1">
      <c r="A16" s="27" t="s">
        <v>530</v>
      </c>
      <c r="B16" s="246">
        <f>B14/B13</f>
        <v>0.50976083333333333</v>
      </c>
      <c r="C16" s="226"/>
      <c r="D16" s="236"/>
      <c r="G16" s="228" t="s">
        <v>34</v>
      </c>
      <c r="H16" s="229">
        <v>-31.5</v>
      </c>
      <c r="I16" s="230" t="s">
        <v>87</v>
      </c>
      <c r="J16" s="229"/>
      <c r="K16" s="229" t="s">
        <v>537</v>
      </c>
    </row>
    <row r="17" spans="1:12">
      <c r="A17" s="211"/>
      <c r="B17" s="236"/>
      <c r="C17" s="226"/>
      <c r="G17" s="228" t="s">
        <v>39</v>
      </c>
      <c r="H17" s="229">
        <v>-4.49</v>
      </c>
      <c r="I17" s="230" t="s">
        <v>87</v>
      </c>
      <c r="J17" s="229"/>
      <c r="K17" s="229" t="s">
        <v>538</v>
      </c>
    </row>
    <row r="18" spans="1:12">
      <c r="A18" s="237" t="s">
        <v>7</v>
      </c>
      <c r="C18" s="226"/>
      <c r="G18" s="228" t="s">
        <v>479</v>
      </c>
      <c r="H18" s="229">
        <v>-5</v>
      </c>
      <c r="I18" s="230" t="s">
        <v>87</v>
      </c>
      <c r="J18" s="229"/>
      <c r="K18" s="229" t="s">
        <v>536</v>
      </c>
    </row>
    <row r="19" spans="1:12">
      <c r="A19" s="219" t="s">
        <v>35</v>
      </c>
      <c r="B19" s="202">
        <v>153458.32</v>
      </c>
      <c r="C19" s="226"/>
      <c r="G19" s="228" t="s">
        <v>68</v>
      </c>
      <c r="H19" s="229">
        <v>-800</v>
      </c>
      <c r="I19" s="230" t="s">
        <v>87</v>
      </c>
      <c r="J19" s="229" t="s">
        <v>502</v>
      </c>
      <c r="K19" s="229" t="s">
        <v>22</v>
      </c>
    </row>
    <row r="20" spans="1:12" ht="15" thickBot="1">
      <c r="A20" s="220" t="s">
        <v>37</v>
      </c>
      <c r="B20" s="203">
        <v>81199.44</v>
      </c>
      <c r="C20" s="226"/>
      <c r="G20" s="228" t="s">
        <v>70</v>
      </c>
      <c r="H20" s="229">
        <v>-27</v>
      </c>
      <c r="I20" s="230" t="s">
        <v>87</v>
      </c>
      <c r="J20" s="229" t="s">
        <v>503</v>
      </c>
      <c r="K20" s="229" t="s">
        <v>539</v>
      </c>
    </row>
    <row r="21" spans="1:12" ht="15" thickBot="1">
      <c r="A21" s="221" t="s">
        <v>38</v>
      </c>
      <c r="B21" s="204">
        <f>SUM(B19:B20)</f>
        <v>234657.76</v>
      </c>
      <c r="C21" s="226"/>
      <c r="G21" s="228" t="s">
        <v>72</v>
      </c>
      <c r="H21" s="229">
        <v>-45</v>
      </c>
      <c r="I21" s="230" t="s">
        <v>87</v>
      </c>
      <c r="J21" s="229" t="s">
        <v>502</v>
      </c>
      <c r="K21" s="229" t="s">
        <v>22</v>
      </c>
    </row>
    <row r="22" spans="1:12" ht="15" thickBot="1">
      <c r="A22" s="222" t="s">
        <v>40</v>
      </c>
      <c r="B22" s="205">
        <f>B23*0.2</f>
        <v>90000</v>
      </c>
      <c r="C22" s="226"/>
      <c r="D22" s="226" t="s">
        <v>73</v>
      </c>
      <c r="G22" s="228" t="s">
        <v>49</v>
      </c>
      <c r="H22" s="229">
        <v>-900</v>
      </c>
      <c r="I22" s="230" t="s">
        <v>87</v>
      </c>
      <c r="J22" s="229" t="s">
        <v>502</v>
      </c>
      <c r="K22" s="229" t="s">
        <v>540</v>
      </c>
    </row>
    <row r="23" spans="1:12">
      <c r="A23" s="238" t="s">
        <v>43</v>
      </c>
      <c r="B23" s="239">
        <v>450000</v>
      </c>
      <c r="C23" s="226"/>
      <c r="G23" s="228" t="s">
        <v>74</v>
      </c>
      <c r="H23" s="229">
        <v>-11</v>
      </c>
      <c r="I23" s="230" t="s">
        <v>87</v>
      </c>
      <c r="J23" s="229"/>
      <c r="K23" s="229" t="s">
        <v>539</v>
      </c>
    </row>
    <row r="24" spans="1:12">
      <c r="A24" s="240" t="s">
        <v>46</v>
      </c>
      <c r="B24" s="241">
        <f>B23-SUM(B21:B22)</f>
        <v>125342.23999999999</v>
      </c>
      <c r="G24" s="228" t="s">
        <v>52</v>
      </c>
      <c r="H24" s="229">
        <v>-7.6</v>
      </c>
      <c r="I24" s="230" t="s">
        <v>87</v>
      </c>
      <c r="J24" s="229"/>
      <c r="K24" s="229" t="s">
        <v>537</v>
      </c>
    </row>
    <row r="25" spans="1:12">
      <c r="G25" s="228" t="s">
        <v>63</v>
      </c>
      <c r="H25" s="229">
        <v>-150</v>
      </c>
      <c r="I25" s="230" t="s">
        <v>87</v>
      </c>
      <c r="J25" s="229" t="s">
        <v>514</v>
      </c>
      <c r="K25" s="229" t="s">
        <v>202</v>
      </c>
    </row>
    <row r="26" spans="1:12">
      <c r="G26" s="228" t="s">
        <v>55</v>
      </c>
      <c r="H26" s="229">
        <v>-31</v>
      </c>
      <c r="I26" s="230" t="s">
        <v>87</v>
      </c>
      <c r="J26" s="229"/>
      <c r="K26" s="229" t="s">
        <v>536</v>
      </c>
    </row>
    <row r="27" spans="1:12">
      <c r="G27" s="228" t="s">
        <v>56</v>
      </c>
      <c r="H27" s="229">
        <v>-80</v>
      </c>
      <c r="I27" s="230" t="s">
        <v>87</v>
      </c>
      <c r="J27" s="229" t="s">
        <v>502</v>
      </c>
      <c r="K27" s="229" t="s">
        <v>22</v>
      </c>
    </row>
    <row r="28" spans="1:12">
      <c r="G28" s="228" t="s">
        <v>78</v>
      </c>
      <c r="H28" s="229">
        <v>-18</v>
      </c>
      <c r="I28" s="230" t="s">
        <v>87</v>
      </c>
      <c r="J28" s="229"/>
      <c r="K28" s="229" t="s">
        <v>537</v>
      </c>
      <c r="L28" s="242"/>
    </row>
    <row r="29" spans="1:12">
      <c r="G29" s="228" t="s">
        <v>533</v>
      </c>
      <c r="H29" s="229">
        <v>-100</v>
      </c>
      <c r="I29" s="230" t="s">
        <v>87</v>
      </c>
      <c r="J29" s="229" t="s">
        <v>503</v>
      </c>
      <c r="K29" s="229" t="s">
        <v>22</v>
      </c>
    </row>
    <row r="30" spans="1:12">
      <c r="A30" s="31" t="s">
        <v>509</v>
      </c>
      <c r="G30" s="228" t="s">
        <v>79</v>
      </c>
      <c r="H30" s="229">
        <v>-12</v>
      </c>
      <c r="I30" s="230" t="s">
        <v>87</v>
      </c>
      <c r="J30" s="229"/>
      <c r="K30" s="229" t="s">
        <v>537</v>
      </c>
    </row>
    <row r="31" spans="1:12" ht="15.5">
      <c r="A31" s="243">
        <v>1104841580</v>
      </c>
      <c r="F31" s="30"/>
      <c r="G31" s="228" t="s">
        <v>80</v>
      </c>
      <c r="H31" s="229">
        <v>-150</v>
      </c>
      <c r="I31" s="230" t="s">
        <v>87</v>
      </c>
      <c r="J31" s="229" t="s">
        <v>514</v>
      </c>
      <c r="K31" s="229" t="s">
        <v>202</v>
      </c>
    </row>
    <row r="32" spans="1:12">
      <c r="F32" s="30"/>
      <c r="G32" s="228" t="s">
        <v>144</v>
      </c>
      <c r="H32" s="229">
        <v>-126</v>
      </c>
      <c r="I32" s="230" t="s">
        <v>87</v>
      </c>
      <c r="J32" s="229"/>
      <c r="K32" s="229" t="s">
        <v>541</v>
      </c>
    </row>
    <row r="33" spans="6:11">
      <c r="F33" s="30"/>
      <c r="G33" s="228" t="s">
        <v>62</v>
      </c>
      <c r="H33" s="229">
        <v>-20</v>
      </c>
      <c r="I33" s="230" t="s">
        <v>87</v>
      </c>
      <c r="J33" s="244" t="s">
        <v>514</v>
      </c>
      <c r="K33" s="229" t="s">
        <v>542</v>
      </c>
    </row>
    <row r="34" spans="6:11">
      <c r="F34" s="30"/>
      <c r="G34" s="228" t="s">
        <v>84</v>
      </c>
      <c r="H34" s="229">
        <v>-127</v>
      </c>
      <c r="I34" s="230" t="s">
        <v>87</v>
      </c>
      <c r="J34" s="244"/>
      <c r="K34" s="229" t="s">
        <v>535</v>
      </c>
    </row>
    <row r="35" spans="6:11">
      <c r="F35" s="30"/>
      <c r="G35" s="244" t="s">
        <v>527</v>
      </c>
      <c r="H35" s="229">
        <v>-300</v>
      </c>
      <c r="I35" s="230" t="s">
        <v>87</v>
      </c>
      <c r="J35" s="244"/>
      <c r="K35" s="229" t="s">
        <v>202</v>
      </c>
    </row>
    <row r="36" spans="6:11">
      <c r="F36" s="30"/>
      <c r="G36" s="244" t="s">
        <v>531</v>
      </c>
      <c r="H36" s="229">
        <v>-40</v>
      </c>
      <c r="I36" s="230" t="s">
        <v>87</v>
      </c>
      <c r="J36" s="244"/>
      <c r="K36" s="229" t="s">
        <v>22</v>
      </c>
    </row>
    <row r="37" spans="6:11">
      <c r="F37" s="30"/>
      <c r="G37" s="244" t="s">
        <v>544</v>
      </c>
      <c r="H37" s="229">
        <v>-20</v>
      </c>
      <c r="I37" s="230" t="s">
        <v>87</v>
      </c>
      <c r="J37" s="244"/>
      <c r="K37" s="229"/>
    </row>
    <row r="38" spans="6:11">
      <c r="F38" s="30"/>
      <c r="G38" s="244"/>
      <c r="H38" s="229"/>
      <c r="I38" s="230" t="s">
        <v>8</v>
      </c>
      <c r="J38" s="244"/>
      <c r="K38" s="229"/>
    </row>
    <row r="39" spans="6:11">
      <c r="F39" s="30"/>
      <c r="G39" s="244"/>
      <c r="H39" s="229"/>
      <c r="I39" s="230" t="s">
        <v>8</v>
      </c>
      <c r="J39" s="244"/>
      <c r="K39" s="229"/>
    </row>
    <row r="40" spans="6:11">
      <c r="F40" s="30"/>
      <c r="G40" s="244"/>
      <c r="H40" s="229"/>
      <c r="I40" s="230" t="s">
        <v>8</v>
      </c>
      <c r="J40" s="244"/>
      <c r="K40" s="229"/>
    </row>
    <row r="41" spans="6:11">
      <c r="F41" s="30"/>
      <c r="G41" s="244"/>
      <c r="H41" s="229"/>
      <c r="I41" s="230" t="s">
        <v>8</v>
      </c>
      <c r="J41" s="244"/>
      <c r="K41" s="229"/>
    </row>
    <row r="42" spans="6:11">
      <c r="F42" s="30"/>
      <c r="G42" s="244"/>
      <c r="H42" s="229"/>
      <c r="I42" s="230" t="s">
        <v>8</v>
      </c>
      <c r="J42" s="244"/>
      <c r="K42" s="229"/>
    </row>
    <row r="43" spans="6:11">
      <c r="F43" s="30"/>
      <c r="G43" s="244"/>
      <c r="H43" s="229"/>
      <c r="I43" s="230" t="s">
        <v>8</v>
      </c>
      <c r="J43" s="244"/>
      <c r="K43" s="229"/>
    </row>
    <row r="44" spans="6:11">
      <c r="F44" s="30"/>
      <c r="G44" s="244"/>
      <c r="H44" s="229"/>
      <c r="I44" s="230" t="s">
        <v>8</v>
      </c>
      <c r="J44" s="244"/>
      <c r="K44" s="229"/>
    </row>
    <row r="45" spans="6:11">
      <c r="F45" s="30"/>
      <c r="G45" s="244"/>
      <c r="H45" s="229"/>
      <c r="I45" s="230" t="s">
        <v>8</v>
      </c>
      <c r="J45" s="244"/>
      <c r="K45" s="229"/>
    </row>
    <row r="46" spans="6:11">
      <c r="F46" s="30"/>
      <c r="G46" s="244"/>
      <c r="H46" s="229"/>
      <c r="I46" s="230" t="s">
        <v>8</v>
      </c>
      <c r="J46" s="244"/>
      <c r="K46" s="229"/>
    </row>
    <row r="47" spans="6:11">
      <c r="G47" s="244"/>
      <c r="H47" s="229"/>
      <c r="I47" s="230" t="s">
        <v>8</v>
      </c>
      <c r="J47" s="244"/>
      <c r="K47" s="229"/>
    </row>
  </sheetData>
  <conditionalFormatting sqref="G2:H11 J2:J31 G12 G13:H31 G33:H34">
    <cfRule type="expression" dxfId="157" priority="14">
      <formula>#REF!</formula>
    </cfRule>
  </conditionalFormatting>
  <conditionalFormatting sqref="I2:I3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56" priority="26">
      <formula>#REF!</formula>
    </cfRule>
  </conditionalFormatting>
  <conditionalFormatting sqref="I2:I47">
    <cfRule type="containsText" dxfId="155" priority="5" operator="containsText" text="No">
      <formula>NOT(ISERROR(SEARCH("No",I2)))</formula>
    </cfRule>
    <cfRule type="containsText" dxfId="154" priority="6" operator="containsText" text="yes">
      <formula>NOT(ISERROR(SEARCH("yes",I2)))</formula>
    </cfRule>
  </conditionalFormatting>
  <conditionalFormatting sqref="I38:I4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53" priority="8">
      <formula>#REF!</formula>
    </cfRule>
  </conditionalFormatting>
  <conditionalFormatting sqref="J2:J37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{5DB9DDC5-D082-478A-9438-E988BD60C461}</x14:id>
        </ext>
      </extLst>
    </cfRule>
  </conditionalFormatting>
  <conditionalFormatting sqref="J38:J4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{8E4D9F23-87CA-4E7D-A39E-A4F431D71EBF}</x14:id>
        </ext>
      </extLst>
    </cfRule>
  </conditionalFormatting>
  <conditionalFormatting sqref="K2:K47 H35:H47">
    <cfRule type="expression" dxfId="152" priority="3">
      <formula>#REF!</formula>
    </cfRule>
  </conditionalFormatting>
  <conditionalFormatting sqref="K2:K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{F684499F-EE91-41DE-890A-4D1F671ED056}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B9DDC5-D082-478A-9438-E988BD60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8E4D9F23-87CA-4E7D-A39E-A4F431D71E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  <x14:conditionalFormatting xmlns:xm="http://schemas.microsoft.com/office/excel/2006/main">
          <x14:cfRule type="dataBar" id="{F684499F-EE91-41DE-890A-4D1F671ED0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K2:K47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4B80-1601-498F-8512-9D0D3BA8CD5C}">
  <dimension ref="A1:IS46"/>
  <sheetViews>
    <sheetView zoomScale="145" zoomScaleNormal="145" workbookViewId="0"/>
  </sheetViews>
  <sheetFormatPr defaultColWidth="0" defaultRowHeight="14.5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2.58203125" style="226" hidden="1" customWidth="1"/>
    <col min="12" max="250" width="0" style="226" hidden="1" customWidth="1"/>
    <col min="251" max="253" width="8.58203125" style="226" hidden="1" customWidth="1"/>
    <col min="254" max="16384" width="0" style="226" hidden="1"/>
  </cols>
  <sheetData>
    <row r="1" spans="1:10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</row>
    <row r="2" spans="1:10">
      <c r="A2" s="213" t="s">
        <v>6</v>
      </c>
      <c r="B2" s="119">
        <v>5114.0600000000004</v>
      </c>
      <c r="C2" s="226"/>
      <c r="D2" s="7" t="s">
        <v>521</v>
      </c>
      <c r="E2" s="4">
        <v>200</v>
      </c>
      <c r="G2" s="228" t="s">
        <v>7</v>
      </c>
      <c r="H2" s="229">
        <v>-1268.67</v>
      </c>
      <c r="I2" s="230" t="s">
        <v>87</v>
      </c>
      <c r="J2" s="229"/>
    </row>
    <row r="3" spans="1:10">
      <c r="A3" s="214" t="s">
        <v>9</v>
      </c>
      <c r="B3" s="192">
        <f>SUMIF(I2:I28,"Yes*",H2:H28)</f>
        <v>-4496.05</v>
      </c>
      <c r="C3" s="226"/>
      <c r="D3" s="6" t="s">
        <v>520</v>
      </c>
      <c r="E3" s="5">
        <v>35</v>
      </c>
      <c r="G3" s="228" t="s">
        <v>10</v>
      </c>
      <c r="H3" s="229">
        <v>-244.8</v>
      </c>
      <c r="I3" s="230" t="s">
        <v>87</v>
      </c>
      <c r="J3" s="229" t="s">
        <v>503</v>
      </c>
    </row>
    <row r="4" spans="1:10">
      <c r="A4" s="213" t="s">
        <v>12</v>
      </c>
      <c r="B4" s="119">
        <v>13.84</v>
      </c>
      <c r="C4" s="226"/>
      <c r="D4" s="24" t="s">
        <v>524</v>
      </c>
      <c r="E4" s="25">
        <v>450</v>
      </c>
      <c r="F4" s="231"/>
      <c r="G4" s="228" t="s">
        <v>14</v>
      </c>
      <c r="H4" s="229">
        <v>-33</v>
      </c>
      <c r="I4" s="230" t="s">
        <v>87</v>
      </c>
      <c r="J4" s="229"/>
    </row>
    <row r="5" spans="1:10" ht="15" thickBot="1">
      <c r="A5" s="215" t="s">
        <v>15</v>
      </c>
      <c r="B5" s="200">
        <f>SUMIF(I2:I37,"No",H2:H37)</f>
        <v>0</v>
      </c>
      <c r="C5" s="226"/>
      <c r="D5" s="24" t="s">
        <v>522</v>
      </c>
      <c r="E5" s="25">
        <v>20</v>
      </c>
      <c r="G5" s="228" t="s">
        <v>17</v>
      </c>
      <c r="H5" s="229">
        <v>-39</v>
      </c>
      <c r="I5" s="230" t="s">
        <v>87</v>
      </c>
      <c r="J5" s="229"/>
    </row>
    <row r="6" spans="1:10" ht="15" thickBot="1">
      <c r="A6" s="216" t="s">
        <v>18</v>
      </c>
      <c r="B6" s="29">
        <f>B5+B4</f>
        <v>13.84</v>
      </c>
      <c r="C6" s="226" t="s">
        <v>19</v>
      </c>
      <c r="D6" s="24" t="s">
        <v>526</v>
      </c>
      <c r="E6" s="25">
        <v>440</v>
      </c>
      <c r="G6" s="228" t="s">
        <v>21</v>
      </c>
      <c r="H6" s="229">
        <v>-15</v>
      </c>
      <c r="I6" s="230" t="s">
        <v>87</v>
      </c>
      <c r="J6" s="229"/>
    </row>
    <row r="7" spans="1:10">
      <c r="A7" s="217" t="s">
        <v>504</v>
      </c>
      <c r="B7" s="201">
        <f>SUMIF(J2:J37,"f1",H2:H37)</f>
        <v>-2083</v>
      </c>
      <c r="C7" s="30"/>
      <c r="D7" s="24" t="s">
        <v>523</v>
      </c>
      <c r="E7" s="25">
        <v>200</v>
      </c>
      <c r="G7" s="228" t="s">
        <v>24</v>
      </c>
      <c r="H7" s="229">
        <v>-155</v>
      </c>
      <c r="I7" s="230" t="s">
        <v>87</v>
      </c>
      <c r="J7" s="229"/>
    </row>
    <row r="8" spans="1:10">
      <c r="A8" s="218" t="s">
        <v>505</v>
      </c>
      <c r="B8" s="194">
        <f>SUMIF(J2:J37,"f2",H2:H37)</f>
        <v>-304.8</v>
      </c>
      <c r="C8" s="30"/>
      <c r="D8" s="24"/>
      <c r="E8" s="25">
        <v>0</v>
      </c>
      <c r="G8" s="228" t="s">
        <v>25</v>
      </c>
      <c r="H8" s="229">
        <v>-40</v>
      </c>
      <c r="I8" s="230" t="s">
        <v>87</v>
      </c>
      <c r="J8" s="229" t="s">
        <v>514</v>
      </c>
    </row>
    <row r="9" spans="1:10">
      <c r="A9" s="218" t="s">
        <v>147</v>
      </c>
      <c r="B9" s="194">
        <f>SUMIF(J2:J37,"",H2:H37)</f>
        <v>-2288.25</v>
      </c>
      <c r="C9" s="226"/>
      <c r="D9" s="24" t="s">
        <v>525</v>
      </c>
      <c r="E9" s="25">
        <v>100</v>
      </c>
      <c r="G9" s="228" t="s">
        <v>27</v>
      </c>
      <c r="H9" s="229">
        <v>-20</v>
      </c>
      <c r="I9" s="230" t="s">
        <v>87</v>
      </c>
      <c r="J9" s="229"/>
    </row>
    <row r="10" spans="1:10" ht="15" thickBot="1">
      <c r="A10" s="218" t="s">
        <v>202</v>
      </c>
      <c r="B10" s="194">
        <f>SUMIF(J2:J37,"s",H2:H37)</f>
        <v>-592</v>
      </c>
      <c r="C10" s="226"/>
      <c r="D10" s="24"/>
      <c r="E10" s="25"/>
      <c r="G10" s="228" t="s">
        <v>64</v>
      </c>
      <c r="H10" s="229">
        <v>-82</v>
      </c>
      <c r="I10" s="230" t="s">
        <v>87</v>
      </c>
      <c r="J10" s="229" t="s">
        <v>514</v>
      </c>
    </row>
    <row r="11" spans="1:10" ht="15" thickBot="1">
      <c r="A11" s="232"/>
      <c r="C11" s="226"/>
      <c r="D11" s="26" t="s">
        <v>28</v>
      </c>
      <c r="E11" s="27">
        <f>SUM(E2:E9)</f>
        <v>1445</v>
      </c>
      <c r="G11" s="228" t="s">
        <v>30</v>
      </c>
      <c r="H11" s="229">
        <v>-4.99</v>
      </c>
      <c r="I11" s="230" t="s">
        <v>87</v>
      </c>
      <c r="J11" s="229"/>
    </row>
    <row r="12" spans="1:10" ht="15" thickBot="1">
      <c r="A12" s="233"/>
      <c r="B12" s="234"/>
      <c r="C12" s="226"/>
      <c r="D12" s="26" t="s">
        <v>501</v>
      </c>
      <c r="E12" s="27">
        <v>1016.58</v>
      </c>
      <c r="G12" s="228" t="s">
        <v>57</v>
      </c>
      <c r="H12" s="235">
        <v>-27</v>
      </c>
      <c r="I12" s="230" t="s">
        <v>87</v>
      </c>
      <c r="J12" s="229"/>
    </row>
    <row r="13" spans="1:10" ht="15" thickBot="1">
      <c r="A13" s="232"/>
      <c r="C13" s="226"/>
      <c r="D13" s="26" t="s">
        <v>506</v>
      </c>
      <c r="E13" s="27">
        <v>908.99</v>
      </c>
      <c r="G13" s="228" t="s">
        <v>33</v>
      </c>
      <c r="H13" s="229">
        <v>-225</v>
      </c>
      <c r="I13" s="230" t="s">
        <v>87</v>
      </c>
      <c r="J13" s="229"/>
    </row>
    <row r="14" spans="1:10" ht="15" thickBot="1">
      <c r="A14" s="211"/>
      <c r="B14" s="236">
        <v>806.34</v>
      </c>
      <c r="C14" s="226"/>
      <c r="D14" s="26" t="s">
        <v>519</v>
      </c>
      <c r="E14" s="27">
        <v>5157</v>
      </c>
      <c r="G14" s="228" t="s">
        <v>34</v>
      </c>
      <c r="H14" s="229">
        <v>-13</v>
      </c>
      <c r="I14" s="230" t="s">
        <v>87</v>
      </c>
      <c r="J14" s="229"/>
    </row>
    <row r="15" spans="1:10">
      <c r="A15" s="211"/>
      <c r="B15" s="236">
        <v>891.38</v>
      </c>
      <c r="C15" s="226"/>
      <c r="D15" s="226">
        <v>4674</v>
      </c>
      <c r="G15" s="228" t="s">
        <v>470</v>
      </c>
      <c r="H15" s="229">
        <v>-10</v>
      </c>
      <c r="I15" s="230" t="s">
        <v>87</v>
      </c>
      <c r="J15" s="229"/>
    </row>
    <row r="16" spans="1:10">
      <c r="A16" s="211"/>
      <c r="B16" s="236">
        <f>B15+B14</f>
        <v>1697.72</v>
      </c>
      <c r="C16" s="226"/>
      <c r="D16" s="236"/>
      <c r="G16" s="228" t="s">
        <v>34</v>
      </c>
      <c r="H16" s="229">
        <v>-31.5</v>
      </c>
      <c r="I16" s="230" t="s">
        <v>87</v>
      </c>
      <c r="J16" s="229"/>
    </row>
    <row r="17" spans="1:11">
      <c r="A17" s="211"/>
      <c r="B17" s="236"/>
      <c r="C17" s="226"/>
      <c r="D17" s="226" t="s">
        <v>481</v>
      </c>
      <c r="G17" s="228" t="s">
        <v>39</v>
      </c>
      <c r="H17" s="229">
        <v>-4.49</v>
      </c>
      <c r="I17" s="230" t="s">
        <v>87</v>
      </c>
      <c r="J17" s="229"/>
    </row>
    <row r="18" spans="1:11">
      <c r="A18" s="237" t="s">
        <v>7</v>
      </c>
      <c r="C18" s="226"/>
      <c r="D18" s="226" t="s">
        <v>482</v>
      </c>
      <c r="G18" s="228" t="s">
        <v>479</v>
      </c>
      <c r="H18" s="229">
        <v>-5</v>
      </c>
      <c r="I18" s="230" t="s">
        <v>87</v>
      </c>
      <c r="J18" s="229"/>
    </row>
    <row r="19" spans="1:11">
      <c r="A19" s="219" t="s">
        <v>35</v>
      </c>
      <c r="B19" s="202">
        <v>153676.79</v>
      </c>
      <c r="C19" s="226"/>
      <c r="D19" s="226" t="s">
        <v>483</v>
      </c>
      <c r="G19" s="228" t="s">
        <v>68</v>
      </c>
      <c r="H19" s="229">
        <v>-800</v>
      </c>
      <c r="I19" s="230" t="s">
        <v>87</v>
      </c>
      <c r="J19" s="229" t="s">
        <v>502</v>
      </c>
    </row>
    <row r="20" spans="1:11" ht="15" thickBot="1">
      <c r="A20" s="220" t="s">
        <v>37</v>
      </c>
      <c r="B20" s="203">
        <v>81315.039999999994</v>
      </c>
      <c r="C20" s="226"/>
      <c r="D20" s="226" t="s">
        <v>69</v>
      </c>
      <c r="G20" s="228" t="s">
        <v>70</v>
      </c>
      <c r="H20" s="229">
        <v>-27</v>
      </c>
      <c r="I20" s="230" t="s">
        <v>87</v>
      </c>
      <c r="J20" s="229" t="s">
        <v>503</v>
      </c>
    </row>
    <row r="21" spans="1:11" ht="15" thickBot="1">
      <c r="A21" s="221" t="s">
        <v>38</v>
      </c>
      <c r="B21" s="204">
        <f>SUM(B19:B20)</f>
        <v>234991.83000000002</v>
      </c>
      <c r="C21" s="226"/>
      <c r="D21" s="226" t="s">
        <v>71</v>
      </c>
      <c r="G21" s="228" t="s">
        <v>72</v>
      </c>
      <c r="H21" s="229">
        <v>-303</v>
      </c>
      <c r="I21" s="230" t="s">
        <v>87</v>
      </c>
      <c r="J21" s="229" t="s">
        <v>502</v>
      </c>
    </row>
    <row r="22" spans="1:11" ht="15" thickBot="1">
      <c r="A22" s="222" t="s">
        <v>40</v>
      </c>
      <c r="B22" s="205">
        <f>B23*0.2</f>
        <v>90000</v>
      </c>
      <c r="C22" s="226"/>
      <c r="D22" s="226" t="s">
        <v>73</v>
      </c>
      <c r="G22" s="228" t="s">
        <v>49</v>
      </c>
      <c r="H22" s="229">
        <v>-900</v>
      </c>
      <c r="I22" s="230" t="s">
        <v>87</v>
      </c>
      <c r="J22" s="229" t="s">
        <v>502</v>
      </c>
    </row>
    <row r="23" spans="1:11">
      <c r="A23" s="238" t="s">
        <v>43</v>
      </c>
      <c r="B23" s="239">
        <v>450000</v>
      </c>
      <c r="C23" s="226"/>
      <c r="G23" s="228" t="s">
        <v>74</v>
      </c>
      <c r="H23" s="229">
        <v>-11</v>
      </c>
      <c r="I23" s="230" t="s">
        <v>87</v>
      </c>
      <c r="J23" s="229"/>
    </row>
    <row r="24" spans="1:11">
      <c r="A24" s="240" t="s">
        <v>46</v>
      </c>
      <c r="B24" s="241">
        <f>B23-SUM(B21:B22)</f>
        <v>125008.16999999998</v>
      </c>
      <c r="G24" s="228" t="s">
        <v>52</v>
      </c>
      <c r="H24" s="229">
        <v>-7.6</v>
      </c>
      <c r="I24" s="230" t="s">
        <v>87</v>
      </c>
      <c r="J24" s="229"/>
    </row>
    <row r="25" spans="1:11" ht="15" thickBot="1">
      <c r="D25" s="219" t="s">
        <v>515</v>
      </c>
      <c r="E25" s="202">
        <v>-7024</v>
      </c>
      <c r="G25" s="228" t="s">
        <v>63</v>
      </c>
      <c r="H25" s="229">
        <v>-100</v>
      </c>
      <c r="I25" s="230" t="s">
        <v>87</v>
      </c>
      <c r="J25" s="229" t="s">
        <v>514</v>
      </c>
    </row>
    <row r="26" spans="1:11" ht="15" thickBot="1">
      <c r="D26" s="225" t="s">
        <v>517</v>
      </c>
      <c r="E26" s="225">
        <v>909</v>
      </c>
      <c r="G26" s="228" t="s">
        <v>55</v>
      </c>
      <c r="H26" s="229">
        <v>-31</v>
      </c>
      <c r="I26" s="230" t="s">
        <v>87</v>
      </c>
      <c r="J26" s="229"/>
    </row>
    <row r="27" spans="1:11" ht="15" thickBot="1">
      <c r="D27" s="225" t="s">
        <v>518</v>
      </c>
      <c r="E27" s="225">
        <v>1800</v>
      </c>
      <c r="G27" s="228" t="s">
        <v>56</v>
      </c>
      <c r="H27" s="229">
        <v>-80</v>
      </c>
      <c r="I27" s="230" t="s">
        <v>87</v>
      </c>
      <c r="J27" s="229" t="s">
        <v>502</v>
      </c>
    </row>
    <row r="28" spans="1:11" ht="15" thickBot="1">
      <c r="D28" s="225" t="s">
        <v>519</v>
      </c>
      <c r="E28" s="225">
        <v>4315</v>
      </c>
      <c r="G28" s="228" t="s">
        <v>78</v>
      </c>
      <c r="H28" s="229">
        <v>-18</v>
      </c>
      <c r="I28" s="230" t="s">
        <v>87</v>
      </c>
      <c r="J28" s="229"/>
      <c r="K28" s="242"/>
    </row>
    <row r="29" spans="1:11">
      <c r="D29" s="240" t="s">
        <v>516</v>
      </c>
      <c r="E29" s="241">
        <f>SUM(E25:E28)</f>
        <v>0</v>
      </c>
      <c r="G29" s="228" t="s">
        <v>57</v>
      </c>
      <c r="H29" s="229">
        <v>-33</v>
      </c>
      <c r="I29" s="230" t="s">
        <v>87</v>
      </c>
      <c r="J29" s="229" t="s">
        <v>503</v>
      </c>
    </row>
    <row r="30" spans="1:11">
      <c r="A30" s="31" t="s">
        <v>509</v>
      </c>
      <c r="G30" s="228" t="s">
        <v>79</v>
      </c>
      <c r="H30" s="229">
        <v>-12</v>
      </c>
      <c r="I30" s="230" t="s">
        <v>87</v>
      </c>
      <c r="J30" s="229"/>
    </row>
    <row r="31" spans="1:11" ht="15.5">
      <c r="A31" s="243">
        <v>1104841580</v>
      </c>
      <c r="F31" s="30"/>
      <c r="G31" s="228" t="s">
        <v>80</v>
      </c>
      <c r="H31" s="229">
        <v>-150</v>
      </c>
      <c r="I31" s="230" t="s">
        <v>87</v>
      </c>
      <c r="J31" s="229" t="s">
        <v>514</v>
      </c>
    </row>
    <row r="32" spans="1:11">
      <c r="F32" s="30"/>
      <c r="G32" s="228" t="s">
        <v>144</v>
      </c>
      <c r="H32" s="229">
        <v>-25</v>
      </c>
      <c r="I32" s="230" t="s">
        <v>87</v>
      </c>
      <c r="J32" s="229"/>
    </row>
    <row r="33" spans="6:10">
      <c r="F33" s="30"/>
      <c r="G33" s="228" t="s">
        <v>62</v>
      </c>
      <c r="H33" s="229">
        <v>-20</v>
      </c>
      <c r="I33" s="230" t="s">
        <v>87</v>
      </c>
      <c r="J33" s="244" t="s">
        <v>514</v>
      </c>
    </row>
    <row r="34" spans="6:10">
      <c r="F34" s="30"/>
      <c r="G34" s="228" t="s">
        <v>84</v>
      </c>
      <c r="H34" s="229">
        <v>-127</v>
      </c>
      <c r="I34" s="230" t="s">
        <v>87</v>
      </c>
      <c r="J34" s="244"/>
    </row>
    <row r="35" spans="6:10">
      <c r="F35" s="30"/>
      <c r="G35" s="244" t="s">
        <v>494</v>
      </c>
      <c r="H35" s="229">
        <v>-5</v>
      </c>
      <c r="I35" s="230" t="s">
        <v>87</v>
      </c>
      <c r="J35" s="244"/>
    </row>
    <row r="36" spans="6:10">
      <c r="F36" s="30"/>
      <c r="G36" s="244" t="s">
        <v>513</v>
      </c>
      <c r="H36" s="229">
        <v>-200</v>
      </c>
      <c r="I36" s="230" t="s">
        <v>87</v>
      </c>
      <c r="J36" s="244"/>
    </row>
    <row r="37" spans="6:10">
      <c r="F37" s="30"/>
      <c r="G37" s="244" t="s">
        <v>511</v>
      </c>
      <c r="H37" s="229">
        <v>-200</v>
      </c>
      <c r="I37" s="230" t="s">
        <v>87</v>
      </c>
      <c r="J37" s="244" t="s">
        <v>514</v>
      </c>
    </row>
    <row r="38" spans="6:10">
      <c r="F38" s="30"/>
      <c r="I38" s="245" t="s">
        <v>8</v>
      </c>
    </row>
    <row r="39" spans="6:10">
      <c r="F39" s="30"/>
    </row>
    <row r="40" spans="6:10">
      <c r="F40" s="30"/>
    </row>
    <row r="41" spans="6:10">
      <c r="F41" s="30"/>
    </row>
    <row r="42" spans="6:10">
      <c r="F42" s="30"/>
    </row>
    <row r="43" spans="6:10">
      <c r="F43" s="30"/>
    </row>
    <row r="44" spans="6:10">
      <c r="F44" s="30"/>
    </row>
    <row r="45" spans="6:10">
      <c r="F45" s="30"/>
    </row>
    <row r="46" spans="6:10">
      <c r="F46" s="30"/>
    </row>
  </sheetData>
  <autoFilter ref="G1:J32" xr:uid="{00000000-0009-0000-0000-000001000000}"/>
  <conditionalFormatting sqref="G2:H11 J2:J31 G12 G13:H31 G33:H34">
    <cfRule type="expression" dxfId="151" priority="2">
      <formula>#REF!</formula>
    </cfRule>
  </conditionalFormatting>
  <conditionalFormatting sqref="H35:H37">
    <cfRule type="expression" dxfId="150" priority="1">
      <formula>#REF!</formula>
    </cfRule>
  </conditionalFormatting>
  <conditionalFormatting sqref="I2:I38">
    <cfRule type="containsText" dxfId="149" priority="4" operator="containsText" text="No">
      <formula>NOT(ISERROR(SEARCH("No",I2)))</formula>
    </cfRule>
    <cfRule type="containsText" dxfId="148" priority="5" operator="containsText" text="yes">
      <formula>NOT(ISERROR(SEARCH("yes",I2)))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47" priority="7">
      <formula>#REF!</formula>
    </cfRule>
  </conditionalFormatting>
  <conditionalFormatting sqref="J2:J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{6FE97CB3-44C9-480A-8E97-323701138CA7}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E97CB3-44C9-480A-8E97-323701138C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7C8B-18B5-4053-8B52-E6F472E59423}">
  <dimension ref="A1:IS46"/>
  <sheetViews>
    <sheetView zoomScale="160" zoomScaleNormal="160" workbookViewId="0">
      <selection activeCell="E10" sqref="E10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208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213" t="s">
        <v>6</v>
      </c>
      <c r="B2" s="119">
        <v>4991.17</v>
      </c>
      <c r="C2" s="3"/>
      <c r="D2" s="7" t="s">
        <v>484</v>
      </c>
      <c r="E2" s="4">
        <v>485</v>
      </c>
      <c r="G2" s="124" t="s">
        <v>7</v>
      </c>
      <c r="H2" s="125">
        <v>-1268.67</v>
      </c>
      <c r="I2" s="133" t="s">
        <v>87</v>
      </c>
      <c r="J2" s="125"/>
    </row>
    <row r="3" spans="1:10">
      <c r="A3" s="214" t="s">
        <v>9</v>
      </c>
      <c r="B3" s="192">
        <f>SUMIF(I2:I28,"Yes*",H2:H28)</f>
        <v>-4602.05</v>
      </c>
      <c r="C3" s="3"/>
      <c r="D3" s="6" t="s">
        <v>471</v>
      </c>
      <c r="E3" s="5">
        <v>8</v>
      </c>
      <c r="G3" s="124" t="s">
        <v>10</v>
      </c>
      <c r="H3" s="125">
        <v>-244.8</v>
      </c>
      <c r="I3" s="133" t="s">
        <v>87</v>
      </c>
      <c r="J3" s="125" t="s">
        <v>503</v>
      </c>
    </row>
    <row r="4" spans="1:10">
      <c r="A4" s="213" t="s">
        <v>12</v>
      </c>
      <c r="B4" s="119">
        <v>67.08</v>
      </c>
      <c r="C4" s="3"/>
      <c r="D4" s="24" t="s">
        <v>61</v>
      </c>
      <c r="E4" s="25">
        <v>300</v>
      </c>
      <c r="F4" s="9"/>
      <c r="G4" s="124" t="s">
        <v>14</v>
      </c>
      <c r="H4" s="125">
        <v>-33</v>
      </c>
      <c r="I4" s="133" t="s">
        <v>87</v>
      </c>
      <c r="J4" s="125"/>
    </row>
    <row r="5" spans="1:10" ht="15" thickBot="1">
      <c r="A5" s="215" t="s">
        <v>15</v>
      </c>
      <c r="B5" s="200">
        <f>SUMIF(I2:I37,"No",H2:H37)</f>
        <v>-64</v>
      </c>
      <c r="C5" s="3"/>
      <c r="D5" s="24" t="s">
        <v>62</v>
      </c>
      <c r="E5" s="25"/>
      <c r="G5" s="124" t="s">
        <v>17</v>
      </c>
      <c r="H5" s="125">
        <v>-39</v>
      </c>
      <c r="I5" s="133" t="s">
        <v>87</v>
      </c>
      <c r="J5" s="125"/>
    </row>
    <row r="6" spans="1:10" ht="15" thickBot="1">
      <c r="A6" s="216" t="s">
        <v>18</v>
      </c>
      <c r="B6" s="29">
        <f>B5+B4</f>
        <v>3.0799999999999983</v>
      </c>
      <c r="C6" s="3" t="s">
        <v>19</v>
      </c>
      <c r="D6" s="24" t="s">
        <v>20</v>
      </c>
      <c r="E6" s="25">
        <v>400</v>
      </c>
      <c r="G6" s="124" t="s">
        <v>21</v>
      </c>
      <c r="H6" s="125">
        <v>-15</v>
      </c>
      <c r="I6" s="133" t="s">
        <v>87</v>
      </c>
      <c r="J6" s="125"/>
    </row>
    <row r="7" spans="1:10">
      <c r="A7" s="217" t="s">
        <v>504</v>
      </c>
      <c r="B7" s="201">
        <f>SUMIF(J2:J32,"f1",H2:H32)</f>
        <v>-2265</v>
      </c>
      <c r="C7" s="30"/>
      <c r="D7" s="24" t="s">
        <v>512</v>
      </c>
      <c r="E7" s="25"/>
      <c r="G7" s="124" t="s">
        <v>24</v>
      </c>
      <c r="H7" s="125">
        <v>-155</v>
      </c>
      <c r="I7" s="133" t="s">
        <v>87</v>
      </c>
      <c r="J7" s="125"/>
    </row>
    <row r="8" spans="1:10">
      <c r="A8" s="218" t="s">
        <v>505</v>
      </c>
      <c r="B8" s="194">
        <f>SUMIF(J2:J32,"f2",H2:H32)</f>
        <v>-304.8</v>
      </c>
      <c r="C8" s="30"/>
      <c r="D8" s="24" t="s">
        <v>478</v>
      </c>
      <c r="E8" s="25">
        <v>90</v>
      </c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218" t="s">
        <v>147</v>
      </c>
      <c r="B9" s="194">
        <f>SUMIF(J2:J32,"",H2:H32)</f>
        <v>-2271.25</v>
      </c>
      <c r="C9"/>
      <c r="D9" s="24" t="s">
        <v>510</v>
      </c>
      <c r="E9" s="25">
        <v>65</v>
      </c>
      <c r="G9" s="124" t="s">
        <v>27</v>
      </c>
      <c r="H9" s="125">
        <v>-20</v>
      </c>
      <c r="I9" s="133" t="s">
        <v>87</v>
      </c>
      <c r="J9" s="125"/>
    </row>
    <row r="10" spans="1:10" ht="15" thickBot="1">
      <c r="A10" s="209"/>
      <c r="B10" s="84"/>
      <c r="C10"/>
      <c r="D10" s="26" t="s">
        <v>28</v>
      </c>
      <c r="E10" s="27">
        <f>SUM(E2:E9)</f>
        <v>1348</v>
      </c>
      <c r="G10" s="124" t="s">
        <v>64</v>
      </c>
      <c r="H10" s="125">
        <v>-20</v>
      </c>
      <c r="I10" s="133" t="s">
        <v>87</v>
      </c>
      <c r="J10" s="125"/>
    </row>
    <row r="11" spans="1:10" ht="15" thickBot="1">
      <c r="A11" s="209"/>
      <c r="B11"/>
      <c r="C11"/>
      <c r="D11" s="26" t="s">
        <v>501</v>
      </c>
      <c r="E11" s="27">
        <v>1005.08</v>
      </c>
      <c r="G11" s="124" t="s">
        <v>30</v>
      </c>
      <c r="H11" s="125">
        <v>-4.99</v>
      </c>
      <c r="I11" s="133" t="s">
        <v>87</v>
      </c>
      <c r="J11" s="125"/>
    </row>
    <row r="12" spans="1:10" ht="15" thickBot="1">
      <c r="A12" s="210"/>
      <c r="B12" s="116"/>
      <c r="C12"/>
      <c r="D12" s="26" t="s">
        <v>506</v>
      </c>
      <c r="E12" s="27">
        <v>700</v>
      </c>
      <c r="G12" s="124" t="s">
        <v>57</v>
      </c>
      <c r="H12" s="126">
        <v>-27</v>
      </c>
      <c r="I12" s="133" t="s">
        <v>87</v>
      </c>
      <c r="J12" s="125"/>
    </row>
    <row r="13" spans="1:10" ht="14">
      <c r="A13" s="209"/>
      <c r="B13"/>
      <c r="C13"/>
      <c r="G13" s="124" t="s">
        <v>33</v>
      </c>
      <c r="H13" s="125">
        <v>-225</v>
      </c>
      <c r="I13" s="133" t="s">
        <v>87</v>
      </c>
      <c r="J13" s="125"/>
    </row>
    <row r="14" spans="1:10">
      <c r="A14" s="21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211"/>
      <c r="B15" s="113">
        <v>891.38</v>
      </c>
      <c r="C15"/>
      <c r="D15">
        <v>4674</v>
      </c>
      <c r="G15" s="124" t="s">
        <v>470</v>
      </c>
      <c r="H15" s="125">
        <v>-10</v>
      </c>
      <c r="I15" s="133" t="s">
        <v>87</v>
      </c>
      <c r="J15" s="125"/>
    </row>
    <row r="16" spans="1:10">
      <c r="A16" s="211"/>
      <c r="B16" s="113">
        <f>B15+B14</f>
        <v>1697.72</v>
      </c>
      <c r="C16"/>
      <c r="D16" s="101"/>
      <c r="G16" s="124" t="s">
        <v>34</v>
      </c>
      <c r="H16" s="125">
        <v>-31.5</v>
      </c>
      <c r="I16" s="133" t="s">
        <v>87</v>
      </c>
      <c r="J16" s="125"/>
    </row>
    <row r="17" spans="1:11">
      <c r="A17" s="211"/>
      <c r="B17" s="113"/>
      <c r="C17"/>
      <c r="D17" t="s">
        <v>481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212" t="s">
        <v>7</v>
      </c>
      <c r="B18"/>
      <c r="C18"/>
      <c r="D18" t="s">
        <v>482</v>
      </c>
      <c r="G18" s="124" t="s">
        <v>479</v>
      </c>
      <c r="H18" s="125">
        <v>-5</v>
      </c>
      <c r="I18" s="133" t="s">
        <v>8</v>
      </c>
      <c r="J18" s="125"/>
    </row>
    <row r="19" spans="1:11" ht="14">
      <c r="A19" s="219" t="s">
        <v>35</v>
      </c>
      <c r="B19" s="202">
        <v>153843.9</v>
      </c>
      <c r="C19"/>
      <c r="D19" t="s">
        <v>483</v>
      </c>
      <c r="G19" s="124" t="s">
        <v>68</v>
      </c>
      <c r="H19" s="125">
        <v>-1000</v>
      </c>
      <c r="I19" s="133" t="s">
        <v>87</v>
      </c>
      <c r="J19" s="125" t="s">
        <v>502</v>
      </c>
    </row>
    <row r="20" spans="1:11" thickBot="1">
      <c r="A20" s="220" t="s">
        <v>37</v>
      </c>
      <c r="B20" s="203">
        <v>81408.759999999995</v>
      </c>
      <c r="C20"/>
      <c r="D20" t="s">
        <v>69</v>
      </c>
      <c r="G20" s="124" t="s">
        <v>70</v>
      </c>
      <c r="H20" s="125">
        <v>-27</v>
      </c>
      <c r="I20" s="133" t="s">
        <v>87</v>
      </c>
      <c r="J20" s="125" t="s">
        <v>503</v>
      </c>
    </row>
    <row r="21" spans="1:11" thickBot="1">
      <c r="A21" s="221" t="s">
        <v>38</v>
      </c>
      <c r="B21" s="204">
        <f>SUM(B19:B20)</f>
        <v>235252.65999999997</v>
      </c>
      <c r="C21"/>
      <c r="D21" t="s">
        <v>71</v>
      </c>
      <c r="G21" s="124" t="s">
        <v>72</v>
      </c>
      <c r="H21" s="125">
        <v>-135</v>
      </c>
      <c r="I21" s="133" t="s">
        <v>87</v>
      </c>
      <c r="J21" s="125" t="s">
        <v>502</v>
      </c>
    </row>
    <row r="22" spans="1:11" thickBot="1">
      <c r="A22" s="222" t="s">
        <v>40</v>
      </c>
      <c r="B22" s="205">
        <f>B23*0.2</f>
        <v>90000</v>
      </c>
      <c r="C22"/>
      <c r="D22" t="s">
        <v>73</v>
      </c>
      <c r="G22" s="124" t="s">
        <v>49</v>
      </c>
      <c r="H22" s="125">
        <v>-1050</v>
      </c>
      <c r="I22" s="133" t="s">
        <v>87</v>
      </c>
      <c r="J22" s="125" t="s">
        <v>502</v>
      </c>
    </row>
    <row r="23" spans="1:11" ht="14">
      <c r="A23" s="223" t="s">
        <v>43</v>
      </c>
      <c r="B23" s="206">
        <v>450000</v>
      </c>
      <c r="C23"/>
      <c r="D23"/>
      <c r="G23" s="124" t="s">
        <v>74</v>
      </c>
      <c r="H23" s="125">
        <v>-11</v>
      </c>
      <c r="I23" s="133" t="s">
        <v>8</v>
      </c>
      <c r="J23" s="125"/>
    </row>
    <row r="24" spans="1:11">
      <c r="A24" s="224" t="s">
        <v>46</v>
      </c>
      <c r="B24" s="207">
        <f>B23-SUM(B21:B22)</f>
        <v>124747.34000000003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31"/>
      <c r="C25" s="32"/>
      <c r="G25" s="124" t="s">
        <v>116</v>
      </c>
      <c r="H25" s="125">
        <v>-120</v>
      </c>
      <c r="I25" s="133" t="s">
        <v>87</v>
      </c>
      <c r="J25" s="125"/>
    </row>
    <row r="26" spans="1:11">
      <c r="A26" s="31"/>
      <c r="C26" s="32"/>
      <c r="G26" s="124" t="s">
        <v>55</v>
      </c>
      <c r="H26" s="125">
        <v>-31</v>
      </c>
      <c r="I26" s="133" t="s">
        <v>87</v>
      </c>
      <c r="J26" s="125"/>
    </row>
    <row r="27" spans="1:11">
      <c r="A27" s="31"/>
      <c r="B27" s="3">
        <v>400000</v>
      </c>
      <c r="C27" s="32"/>
      <c r="G27" s="124" t="s">
        <v>56</v>
      </c>
      <c r="H27" s="125">
        <v>-80</v>
      </c>
      <c r="I27" s="133" t="s">
        <v>87</v>
      </c>
      <c r="J27" s="125" t="s">
        <v>502</v>
      </c>
    </row>
    <row r="28" spans="1:11">
      <c r="A28" s="31"/>
      <c r="B28" s="3">
        <v>125000</v>
      </c>
      <c r="C28" s="32"/>
      <c r="G28" s="124" t="s">
        <v>78</v>
      </c>
      <c r="H28" s="125">
        <v>-18</v>
      </c>
      <c r="I28" s="133" t="s">
        <v>8</v>
      </c>
      <c r="J28" s="125"/>
      <c r="K28" s="15"/>
    </row>
    <row r="29" spans="1:11">
      <c r="A29" s="31"/>
      <c r="B29" s="3">
        <f>SUM(B27:B28)</f>
        <v>525000</v>
      </c>
      <c r="C29" s="32"/>
      <c r="G29" s="124" t="s">
        <v>57</v>
      </c>
      <c r="H29" s="125">
        <v>-33</v>
      </c>
      <c r="I29" s="133" t="s">
        <v>87</v>
      </c>
      <c r="J29" s="125" t="s">
        <v>503</v>
      </c>
    </row>
    <row r="30" spans="1:11">
      <c r="A30" s="31"/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31"/>
      <c r="C31" s="32"/>
      <c r="F31" s="30"/>
      <c r="G31" s="124" t="s">
        <v>80</v>
      </c>
      <c r="H31" s="125">
        <v>-50</v>
      </c>
      <c r="I31" s="133" t="s">
        <v>87</v>
      </c>
      <c r="J31" s="125"/>
    </row>
    <row r="32" spans="1:11">
      <c r="A32" s="31"/>
      <c r="C32" s="32"/>
      <c r="F32" s="30"/>
      <c r="G32" s="124" t="s">
        <v>144</v>
      </c>
      <c r="H32" s="125">
        <v>-110</v>
      </c>
      <c r="I32" s="133" t="s">
        <v>87</v>
      </c>
      <c r="J32" s="125"/>
    </row>
    <row r="33" spans="1:10">
      <c r="A33" s="31"/>
      <c r="C33" s="32"/>
      <c r="F33" s="30"/>
      <c r="G33" s="124" t="s">
        <v>62</v>
      </c>
      <c r="H33" s="125">
        <v>-20</v>
      </c>
      <c r="I33" s="133" t="s">
        <v>87</v>
      </c>
      <c r="J33" s="17"/>
    </row>
    <row r="34" spans="1:10">
      <c r="A34" s="31"/>
      <c r="C34" s="32"/>
      <c r="F34" s="30"/>
      <c r="G34" s="124" t="s">
        <v>84</v>
      </c>
      <c r="H34" s="125">
        <v>-127</v>
      </c>
      <c r="I34" s="133" t="s">
        <v>87</v>
      </c>
      <c r="J34" s="17"/>
    </row>
    <row r="35" spans="1:10">
      <c r="F35" s="30"/>
      <c r="G35" s="17" t="s">
        <v>494</v>
      </c>
      <c r="H35" s="125">
        <v>-5</v>
      </c>
      <c r="I35" s="133" t="s">
        <v>8</v>
      </c>
      <c r="J35" s="17"/>
    </row>
    <row r="36" spans="1:10">
      <c r="F36" s="30"/>
      <c r="G36" s="17" t="s">
        <v>495</v>
      </c>
      <c r="H36" s="125">
        <v>-50</v>
      </c>
      <c r="I36" s="133" t="s">
        <v>87</v>
      </c>
      <c r="J36" s="17"/>
    </row>
    <row r="37" spans="1:10">
      <c r="F37" s="30"/>
      <c r="G37" s="17" t="s">
        <v>144</v>
      </c>
      <c r="H37" s="125">
        <v>-25</v>
      </c>
      <c r="I37" s="133" t="s">
        <v>8</v>
      </c>
      <c r="J37" s="17"/>
    </row>
    <row r="38" spans="1:10">
      <c r="F38" s="30"/>
    </row>
    <row r="39" spans="1:10">
      <c r="F39" s="30"/>
    </row>
    <row r="40" spans="1:10">
      <c r="F40" s="30"/>
    </row>
    <row r="41" spans="1:10">
      <c r="F41" s="30"/>
    </row>
    <row r="42" spans="1:10">
      <c r="F42" s="30"/>
    </row>
    <row r="43" spans="1:10">
      <c r="F43" s="30"/>
    </row>
    <row r="44" spans="1:10">
      <c r="F44" s="30"/>
    </row>
    <row r="45" spans="1:10">
      <c r="F45" s="30"/>
    </row>
    <row r="46" spans="1:10">
      <c r="F46" s="30"/>
    </row>
  </sheetData>
  <autoFilter ref="G1:J32" xr:uid="{00000000-0009-0000-0000-000001000000}"/>
  <conditionalFormatting sqref="G2:H11 J2:J31 G12 G13:H31 G33:H34">
    <cfRule type="expression" dxfId="146" priority="2">
      <formula>#REF!</formula>
    </cfRule>
  </conditionalFormatting>
  <conditionalFormatting sqref="H35:H37">
    <cfRule type="expression" dxfId="145" priority="1">
      <formula>#REF!</formula>
    </cfRule>
  </conditionalFormatting>
  <conditionalFormatting sqref="I2:I37">
    <cfRule type="containsText" dxfId="144" priority="4" operator="containsText" text="No">
      <formula>NOT(ISERROR(SEARCH("No",I2)))</formula>
    </cfRule>
    <cfRule type="containsText" dxfId="143" priority="5" operator="containsText" text="yes">
      <formula>NOT(ISERROR(SEARCH("yes",I2)))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42" priority="7">
      <formula>#REF!</formula>
    </cfRule>
  </conditionalFormatting>
  <conditionalFormatting sqref="J2:J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{F947C7CE-4FF5-429E-A235-82BE5E93A89A}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47C7CE-4FF5-429E-A235-82BE5E93A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3508-B101-4970-B479-C1BD77D0F084}">
  <dimension ref="A1:IS46"/>
  <sheetViews>
    <sheetView zoomScale="160" zoomScaleNormal="160" workbookViewId="0">
      <selection activeCell="B2" sqref="B2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5010.8999999999996</v>
      </c>
      <c r="C2" s="3"/>
      <c r="D2" s="7" t="s">
        <v>484</v>
      </c>
      <c r="E2" s="4">
        <v>100</v>
      </c>
      <c r="G2" s="124" t="s">
        <v>7</v>
      </c>
      <c r="H2" s="125">
        <v>-1268.67</v>
      </c>
      <c r="I2" s="133" t="s">
        <v>87</v>
      </c>
      <c r="J2" s="125"/>
    </row>
    <row r="3" spans="1:10">
      <c r="A3" s="100" t="s">
        <v>9</v>
      </c>
      <c r="B3" s="192">
        <f>SUMIF(I2:I28,"Yes*",H2:H28)</f>
        <v>-4069.9399999999996</v>
      </c>
      <c r="C3" s="3"/>
      <c r="D3" s="6" t="s">
        <v>471</v>
      </c>
      <c r="E3" s="5">
        <v>180</v>
      </c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42.94</v>
      </c>
      <c r="C4" s="3"/>
      <c r="D4" s="24" t="s">
        <v>61</v>
      </c>
      <c r="E4" s="25">
        <v>190</v>
      </c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-34</v>
      </c>
      <c r="C5" s="3"/>
      <c r="D5" s="24" t="s">
        <v>62</v>
      </c>
      <c r="E5" s="25">
        <v>76</v>
      </c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8.9399999999999977</v>
      </c>
      <c r="C6" s="3" t="s">
        <v>19</v>
      </c>
      <c r="D6" s="24" t="s">
        <v>20</v>
      </c>
      <c r="E6" s="25">
        <v>315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-2013.8</v>
      </c>
      <c r="C7" s="30"/>
      <c r="D7" s="24" t="s">
        <v>487</v>
      </c>
      <c r="E7" s="25">
        <v>54.47</v>
      </c>
      <c r="G7" s="124" t="s">
        <v>24</v>
      </c>
      <c r="H7" s="125">
        <v>-173</v>
      </c>
      <c r="I7" s="133" t="s">
        <v>87</v>
      </c>
      <c r="J7" s="125"/>
    </row>
    <row r="8" spans="1:10">
      <c r="A8" s="31"/>
      <c r="C8" s="30"/>
      <c r="D8" s="24" t="s">
        <v>478</v>
      </c>
      <c r="E8" s="25">
        <v>90</v>
      </c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31"/>
      <c r="B9" s="111"/>
      <c r="C9"/>
      <c r="D9" s="24" t="s">
        <v>477</v>
      </c>
      <c r="E9" s="25">
        <v>1025</v>
      </c>
      <c r="G9" s="124" t="s">
        <v>27</v>
      </c>
      <c r="H9" s="125">
        <v>-16.989999999999998</v>
      </c>
      <c r="I9" s="133" t="s">
        <v>87</v>
      </c>
      <c r="J9" s="125"/>
    </row>
    <row r="10" spans="1:10" ht="15" thickBot="1">
      <c r="A10" t="s">
        <v>480</v>
      </c>
      <c r="B10" s="84"/>
      <c r="C10"/>
      <c r="D10" s="26" t="s">
        <v>28</v>
      </c>
      <c r="E10" s="27">
        <f>SUM(E2:E9)</f>
        <v>2030.47</v>
      </c>
      <c r="G10" s="124" t="s">
        <v>64</v>
      </c>
      <c r="H10" s="125">
        <v>-60</v>
      </c>
      <c r="I10" s="133" t="s">
        <v>87</v>
      </c>
      <c r="J10" s="125"/>
    </row>
    <row r="11" spans="1:10" thickBot="1">
      <c r="A11">
        <v>140.35</v>
      </c>
      <c r="B11"/>
      <c r="C11"/>
      <c r="G11" s="124" t="s">
        <v>30</v>
      </c>
      <c r="H11" s="125">
        <v>-4.99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65</v>
      </c>
      <c r="E12" s="109"/>
      <c r="G12" s="124" t="s">
        <v>57</v>
      </c>
      <c r="H12" s="126">
        <v>-27</v>
      </c>
      <c r="I12" s="133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-225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31"/>
      <c r="B15" s="113">
        <v>891.38</v>
      </c>
      <c r="C15"/>
      <c r="D15">
        <v>4674</v>
      </c>
      <c r="G15" s="124" t="s">
        <v>470</v>
      </c>
      <c r="H15" s="125"/>
      <c r="I15" s="133" t="s">
        <v>8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481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 t="s">
        <v>482</v>
      </c>
      <c r="G18" s="124" t="s">
        <v>479</v>
      </c>
      <c r="H18" s="125">
        <v>-5</v>
      </c>
      <c r="I18" s="133" t="s">
        <v>8</v>
      </c>
      <c r="J18" s="125"/>
    </row>
    <row r="19" spans="1:11" ht="14">
      <c r="A19" s="86" t="s">
        <v>35</v>
      </c>
      <c r="B19" s="87">
        <v>157869</v>
      </c>
      <c r="C19"/>
      <c r="D19" t="s">
        <v>483</v>
      </c>
      <c r="G19" s="124" t="s">
        <v>68</v>
      </c>
      <c r="H19" s="125">
        <v>-1000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82960</v>
      </c>
      <c r="C20"/>
      <c r="D20" t="s">
        <v>69</v>
      </c>
      <c r="G20" s="124" t="s">
        <v>70</v>
      </c>
      <c r="H20" s="125">
        <v>-26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240829</v>
      </c>
      <c r="C21"/>
      <c r="D21" t="s">
        <v>71</v>
      </c>
      <c r="G21" s="124" t="s">
        <v>72</v>
      </c>
      <c r="H21" s="125"/>
      <c r="I21" s="133" t="s">
        <v>8</v>
      </c>
      <c r="J21" s="125" t="s">
        <v>11</v>
      </c>
    </row>
    <row r="22" spans="1:11">
      <c r="A22" s="92" t="s">
        <v>40</v>
      </c>
      <c r="B22" s="93">
        <f>B23*0.2</f>
        <v>80000</v>
      </c>
      <c r="C22"/>
      <c r="D22" t="s">
        <v>73</v>
      </c>
      <c r="G22" s="124" t="s">
        <v>49</v>
      </c>
      <c r="H22" s="125">
        <v>-630</v>
      </c>
      <c r="I22" s="133" t="s">
        <v>87</v>
      </c>
      <c r="J22" s="125" t="s">
        <v>11</v>
      </c>
    </row>
    <row r="23" spans="1:11" ht="14">
      <c r="A23" s="86" t="s">
        <v>43</v>
      </c>
      <c r="B23" s="87">
        <v>400000</v>
      </c>
      <c r="C23"/>
      <c r="D23"/>
      <c r="G23" s="124" t="s">
        <v>74</v>
      </c>
      <c r="H23" s="125">
        <v>-11</v>
      </c>
      <c r="I23" s="133" t="s">
        <v>8</v>
      </c>
      <c r="J23" s="125"/>
    </row>
    <row r="24" spans="1:11">
      <c r="A24" s="91" t="s">
        <v>46</v>
      </c>
      <c r="B24" s="94">
        <f>SUM(B21:B22)-B23</f>
        <v>-79171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116</v>
      </c>
      <c r="H25" s="125">
        <v>-100</v>
      </c>
      <c r="I25" s="133" t="s">
        <v>87</v>
      </c>
      <c r="J25" s="125"/>
    </row>
    <row r="26" spans="1:11">
      <c r="A26" s="92" t="s">
        <v>76</v>
      </c>
      <c r="B26" s="93">
        <f>B25+B24</f>
        <v>370829</v>
      </c>
      <c r="C26" s="32"/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D27" s="3">
        <v>4674</v>
      </c>
      <c r="G27" s="124" t="s">
        <v>56</v>
      </c>
      <c r="H27" s="125">
        <v>-80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80</v>
      </c>
      <c r="H31" s="125">
        <v>-40</v>
      </c>
      <c r="I31" s="133" t="s">
        <v>87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144</v>
      </c>
      <c r="H32" s="125">
        <v>-262.45999999999998</v>
      </c>
      <c r="I32" s="133" t="s">
        <v>87</v>
      </c>
      <c r="J32" s="125"/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 t="s">
        <v>62</v>
      </c>
      <c r="H33" s="125">
        <v>-20</v>
      </c>
      <c r="I33" s="133" t="s">
        <v>87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-127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384</v>
      </c>
      <c r="H35" s="125">
        <v>-110</v>
      </c>
      <c r="I35" s="133" t="s">
        <v>87</v>
      </c>
      <c r="J35" s="17" t="s">
        <v>11</v>
      </c>
    </row>
    <row r="36" spans="1:10">
      <c r="A36" s="31"/>
      <c r="C36" s="32"/>
      <c r="F36" s="30"/>
      <c r="G36" s="17" t="s">
        <v>485</v>
      </c>
      <c r="H36" s="125">
        <v>-28</v>
      </c>
      <c r="I36" s="133" t="s">
        <v>87</v>
      </c>
      <c r="J36" s="17"/>
    </row>
    <row r="37" spans="1:10">
      <c r="A37" s="31"/>
      <c r="C37" s="32"/>
      <c r="F37" s="30"/>
      <c r="G37" s="17" t="s">
        <v>486</v>
      </c>
      <c r="H37" s="125">
        <v>-1260</v>
      </c>
      <c r="I37" s="133" t="s">
        <v>87</v>
      </c>
      <c r="J37" s="17"/>
    </row>
    <row r="38" spans="1:10">
      <c r="A38" s="31"/>
      <c r="C38" s="32"/>
      <c r="F38" s="30"/>
      <c r="I38" s="133" t="s">
        <v>8</v>
      </c>
    </row>
    <row r="39" spans="1:10">
      <c r="A39" s="31"/>
      <c r="C39" s="32"/>
      <c r="F39" s="30"/>
      <c r="I39" s="133" t="s">
        <v>8</v>
      </c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1000000}"/>
  <conditionalFormatting sqref="G2:H11 J2:J31 G12 G13:H31 G33:H34">
    <cfRule type="expression" dxfId="141" priority="6">
      <formula>#REF!</formula>
    </cfRule>
  </conditionalFormatting>
  <conditionalFormatting sqref="H35:H37">
    <cfRule type="expression" dxfId="140" priority="5">
      <formula>#REF!</formula>
    </cfRule>
  </conditionalFormatting>
  <conditionalFormatting sqref="I2:I39">
    <cfRule type="containsText" dxfId="139" priority="1" operator="containsText" text="No">
      <formula>NOT(ISERROR(SEARCH("No",I2)))</formula>
    </cfRule>
    <cfRule type="containsText" dxfId="138" priority="2" operator="containsText" text="yes">
      <formula>NOT(ISERROR(SEARCH("yes",I2)))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37" priority="4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{BD97AF79-E828-4A5C-AE6E-68AE9F05D5BB}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97AF79-E828-4A5C-AE6E-68AE9F05D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DA4C-6F0E-4DEA-8375-E6F0235AD0E6}">
  <dimension ref="A1:IS46"/>
  <sheetViews>
    <sheetView zoomScale="130" zoomScaleNormal="130" workbookViewId="0">
      <selection activeCell="G29" sqref="G29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4920.2299999999996</v>
      </c>
      <c r="C2" s="3"/>
      <c r="D2" s="7" t="s">
        <v>1</v>
      </c>
      <c r="E2" s="4"/>
      <c r="G2" s="124" t="s">
        <v>7</v>
      </c>
      <c r="H2" s="125">
        <v>-1268.67</v>
      </c>
      <c r="I2" s="133" t="s">
        <v>87</v>
      </c>
      <c r="J2" s="125"/>
    </row>
    <row r="3" spans="1:10">
      <c r="A3" s="100" t="s">
        <v>9</v>
      </c>
      <c r="B3" s="192">
        <f>SUMIF(I2:I28,"Yes*",H2:H28)</f>
        <v>-4056.9399999999996</v>
      </c>
      <c r="C3" s="3"/>
      <c r="D3" s="6" t="s">
        <v>471</v>
      </c>
      <c r="E3" s="5">
        <v>135</v>
      </c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4.01</v>
      </c>
      <c r="C4" s="3"/>
      <c r="D4" s="24" t="s">
        <v>61</v>
      </c>
      <c r="E4" s="25">
        <v>150</v>
      </c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0</v>
      </c>
      <c r="C5" s="3"/>
      <c r="D5" s="24" t="s">
        <v>62</v>
      </c>
      <c r="E5" s="25"/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4.01</v>
      </c>
      <c r="C6" s="3" t="s">
        <v>19</v>
      </c>
      <c r="D6" s="24" t="s">
        <v>20</v>
      </c>
      <c r="E6" s="25">
        <v>275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-2026.8</v>
      </c>
      <c r="C7" s="30"/>
      <c r="D7" s="24" t="s">
        <v>476</v>
      </c>
      <c r="E7" s="25"/>
      <c r="G7" s="124" t="s">
        <v>24</v>
      </c>
      <c r="H7" s="125">
        <v>-173</v>
      </c>
      <c r="I7" s="133" t="s">
        <v>87</v>
      </c>
      <c r="J7" s="125"/>
    </row>
    <row r="8" spans="1:10">
      <c r="A8" s="31"/>
      <c r="C8" s="30"/>
      <c r="D8" s="24" t="s">
        <v>478</v>
      </c>
      <c r="E8" s="25">
        <v>90</v>
      </c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31"/>
      <c r="B9" s="111"/>
      <c r="C9"/>
      <c r="D9" s="24" t="s">
        <v>477</v>
      </c>
      <c r="E9" s="25">
        <v>1025</v>
      </c>
      <c r="G9" s="124" t="s">
        <v>27</v>
      </c>
      <c r="H9" s="125">
        <v>-16.989999999999998</v>
      </c>
      <c r="I9" s="133" t="s">
        <v>87</v>
      </c>
      <c r="J9" s="125"/>
    </row>
    <row r="10" spans="1:10" ht="15" thickBot="1">
      <c r="A10" t="s">
        <v>480</v>
      </c>
      <c r="B10" s="84"/>
      <c r="C10"/>
      <c r="D10" s="26" t="s">
        <v>28</v>
      </c>
      <c r="E10" s="27">
        <f>SUM(E2:E9)</f>
        <v>1675</v>
      </c>
      <c r="G10" s="124" t="s">
        <v>64</v>
      </c>
      <c r="H10" s="125">
        <v>-90</v>
      </c>
      <c r="I10" s="133" t="s">
        <v>87</v>
      </c>
      <c r="J10" s="125"/>
    </row>
    <row r="11" spans="1:10" thickBot="1">
      <c r="A11">
        <v>140.35</v>
      </c>
      <c r="B11"/>
      <c r="C11"/>
      <c r="G11" s="124" t="s">
        <v>30</v>
      </c>
      <c r="H11" s="125">
        <v>-4.99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65</v>
      </c>
      <c r="E12" s="109"/>
      <c r="G12" s="124" t="s">
        <v>57</v>
      </c>
      <c r="H12" s="126">
        <v>-27</v>
      </c>
      <c r="I12" s="133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-225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31"/>
      <c r="B15" s="113">
        <v>891.38</v>
      </c>
      <c r="C15"/>
      <c r="D15">
        <v>4674</v>
      </c>
      <c r="G15" s="124" t="s">
        <v>470</v>
      </c>
      <c r="H15" s="125">
        <v>-10</v>
      </c>
      <c r="I15" s="133" t="s">
        <v>87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481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 t="s">
        <v>482</v>
      </c>
      <c r="G18" s="124" t="s">
        <v>479</v>
      </c>
      <c r="H18" s="125">
        <v>-5</v>
      </c>
      <c r="I18" s="133" t="s">
        <v>87</v>
      </c>
      <c r="J18" s="125"/>
    </row>
    <row r="19" spans="1:11" ht="14">
      <c r="A19" s="86" t="s">
        <v>35</v>
      </c>
      <c r="B19" s="87">
        <v>157869</v>
      </c>
      <c r="C19"/>
      <c r="D19" t="s">
        <v>483</v>
      </c>
      <c r="G19" s="124" t="s">
        <v>68</v>
      </c>
      <c r="H19" s="125">
        <v>-800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82960</v>
      </c>
      <c r="C20"/>
      <c r="D20" t="s">
        <v>69</v>
      </c>
      <c r="G20" s="124" t="s">
        <v>70</v>
      </c>
      <c r="H20" s="125">
        <v>-26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240829</v>
      </c>
      <c r="C21"/>
      <c r="D21" t="s">
        <v>71</v>
      </c>
      <c r="G21" s="124" t="s">
        <v>72</v>
      </c>
      <c r="H21" s="125">
        <v>-23</v>
      </c>
      <c r="I21" s="133" t="s">
        <v>87</v>
      </c>
      <c r="J21" s="125" t="s">
        <v>11</v>
      </c>
    </row>
    <row r="22" spans="1:11">
      <c r="A22" s="92" t="s">
        <v>40</v>
      </c>
      <c r="B22" s="93">
        <f>B23*0.2</f>
        <v>80000</v>
      </c>
      <c r="C22"/>
      <c r="D22" t="s">
        <v>73</v>
      </c>
      <c r="G22" s="124" t="s">
        <v>49</v>
      </c>
      <c r="H22" s="125">
        <v>-850</v>
      </c>
      <c r="I22" s="133" t="s">
        <v>87</v>
      </c>
      <c r="J22" s="125" t="s">
        <v>11</v>
      </c>
    </row>
    <row r="23" spans="1:11" ht="14">
      <c r="A23" s="86" t="s">
        <v>43</v>
      </c>
      <c r="B23" s="87">
        <v>400000</v>
      </c>
      <c r="C23"/>
      <c r="D23"/>
      <c r="G23" s="124" t="s">
        <v>74</v>
      </c>
      <c r="H23" s="125">
        <v>-11</v>
      </c>
      <c r="I23" s="133" t="s">
        <v>87</v>
      </c>
      <c r="J23" s="125"/>
    </row>
    <row r="24" spans="1:11">
      <c r="A24" s="91" t="s">
        <v>46</v>
      </c>
      <c r="B24" s="94">
        <f>SUM(B21:B22)-B23</f>
        <v>-79171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54</v>
      </c>
      <c r="H25" s="125"/>
      <c r="I25" s="133" t="s">
        <v>8</v>
      </c>
      <c r="J25" s="125"/>
    </row>
    <row r="26" spans="1:11">
      <c r="A26" s="92" t="s">
        <v>76</v>
      </c>
      <c r="B26" s="93">
        <f>B25+B24</f>
        <v>370829</v>
      </c>
      <c r="C26" s="32"/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D27" s="3">
        <v>4674</v>
      </c>
      <c r="G27" s="124" t="s">
        <v>56</v>
      </c>
      <c r="H27" s="125">
        <v>-50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87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80</v>
      </c>
      <c r="H31" s="125">
        <v>-40</v>
      </c>
      <c r="I31" s="133" t="s">
        <v>87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82</v>
      </c>
      <c r="H32" s="125">
        <v>-422</v>
      </c>
      <c r="I32" s="133" t="s">
        <v>87</v>
      </c>
      <c r="J32" s="125"/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 t="s">
        <v>62</v>
      </c>
      <c r="H33" s="125">
        <v>-20</v>
      </c>
      <c r="I33" s="133" t="s">
        <v>87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-114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133</v>
      </c>
      <c r="H35" s="125">
        <v>-170</v>
      </c>
      <c r="I35" s="133" t="s">
        <v>87</v>
      </c>
      <c r="J35" s="17" t="s">
        <v>11</v>
      </c>
    </row>
    <row r="36" spans="1:10">
      <c r="A36" s="31"/>
      <c r="C36" s="32"/>
      <c r="F36" s="30"/>
      <c r="G36" s="17" t="s">
        <v>86</v>
      </c>
      <c r="H36" s="125">
        <v>-435</v>
      </c>
      <c r="I36" s="133" t="s">
        <v>87</v>
      </c>
      <c r="J36" s="17"/>
    </row>
    <row r="37" spans="1:10">
      <c r="A37" s="31"/>
      <c r="C37" s="32"/>
      <c r="F37" s="30"/>
      <c r="G37" s="17" t="s">
        <v>116</v>
      </c>
      <c r="H37" s="125">
        <v>-45</v>
      </c>
      <c r="I37" s="133" t="s">
        <v>87</v>
      </c>
      <c r="J37" s="17"/>
    </row>
    <row r="38" spans="1:10">
      <c r="A38" s="31"/>
      <c r="C38" s="32"/>
      <c r="F38" s="30"/>
      <c r="I38" s="133" t="s">
        <v>8</v>
      </c>
    </row>
    <row r="39" spans="1:10">
      <c r="A39" s="31"/>
      <c r="C39" s="32"/>
      <c r="F39" s="30"/>
      <c r="I39" s="133" t="s">
        <v>8</v>
      </c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1000000}"/>
  <conditionalFormatting sqref="G2:H11 J2:J31 G12 G13:H31 G33:H34">
    <cfRule type="expression" dxfId="136" priority="6">
      <formula>#REF!</formula>
    </cfRule>
  </conditionalFormatting>
  <conditionalFormatting sqref="H35:H37">
    <cfRule type="expression" dxfId="135" priority="5">
      <formula>#REF!</formula>
    </cfRule>
  </conditionalFormatting>
  <conditionalFormatting sqref="I2:I39">
    <cfRule type="containsText" dxfId="134" priority="1" operator="containsText" text="No">
      <formula>NOT(ISERROR(SEARCH("No",I2)))</formula>
    </cfRule>
    <cfRule type="containsText" dxfId="133" priority="2" operator="containsText" text="yes">
      <formula>NOT(ISERROR(SEARCH("yes",I2)))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32" priority="4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{F0AF2694-7739-4581-92C5-D4FB5AE4DA0A}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AF2694-7739-4581-92C5-D4FB5AE4DA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S46"/>
  <sheetViews>
    <sheetView zoomScale="145" zoomScaleNormal="145" workbookViewId="0">
      <selection activeCell="E8" sqref="E8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4974.3500000000004</v>
      </c>
      <c r="C2" s="3"/>
      <c r="D2" s="7" t="s">
        <v>1</v>
      </c>
      <c r="E2" s="4"/>
      <c r="G2" s="124" t="s">
        <v>7</v>
      </c>
      <c r="H2" s="125">
        <v>-1268.67</v>
      </c>
      <c r="I2" s="133" t="s">
        <v>87</v>
      </c>
      <c r="J2" s="125"/>
    </row>
    <row r="3" spans="1:10">
      <c r="A3" s="100" t="s">
        <v>9</v>
      </c>
      <c r="B3" s="192">
        <f>SUMIF(I2:I28,"Yes*",H2:H28)</f>
        <v>-3561.9399999999996</v>
      </c>
      <c r="C3" s="3"/>
      <c r="D3" s="6" t="s">
        <v>471</v>
      </c>
      <c r="E3" s="5">
        <v>80</v>
      </c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29.64</v>
      </c>
      <c r="C4" s="3"/>
      <c r="D4" s="24" t="s">
        <v>61</v>
      </c>
      <c r="E4" s="25">
        <v>110</v>
      </c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-29</v>
      </c>
      <c r="C5" s="3"/>
      <c r="D5" s="24" t="s">
        <v>62</v>
      </c>
      <c r="E5" s="25">
        <v>60</v>
      </c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0.64000000000000057</v>
      </c>
      <c r="C6" s="3" t="s">
        <v>19</v>
      </c>
      <c r="D6" s="24" t="s">
        <v>20</v>
      </c>
      <c r="E6" s="25">
        <v>400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-1613.8</v>
      </c>
      <c r="C7" s="30"/>
      <c r="D7" s="24" t="s">
        <v>476</v>
      </c>
      <c r="E7" s="25">
        <v>244</v>
      </c>
      <c r="G7" s="124" t="s">
        <v>24</v>
      </c>
      <c r="H7" s="125">
        <v>-173</v>
      </c>
      <c r="I7" s="133" t="s">
        <v>87</v>
      </c>
      <c r="J7" s="125"/>
    </row>
    <row r="8" spans="1:10">
      <c r="A8" s="31"/>
      <c r="C8" s="30"/>
      <c r="D8" s="24" t="s">
        <v>478</v>
      </c>
      <c r="E8" s="25">
        <v>160</v>
      </c>
      <c r="G8" s="124" t="s">
        <v>25</v>
      </c>
      <c r="H8" s="125"/>
      <c r="I8" s="133" t="s">
        <v>8</v>
      </c>
      <c r="J8" s="125"/>
    </row>
    <row r="9" spans="1:10" ht="15" thickBot="1">
      <c r="A9" s="31"/>
      <c r="B9" s="111"/>
      <c r="C9"/>
      <c r="D9" s="24" t="s">
        <v>477</v>
      </c>
      <c r="E9" s="25">
        <v>1025</v>
      </c>
      <c r="G9" s="124" t="s">
        <v>27</v>
      </c>
      <c r="H9" s="125">
        <v>-16.989999999999998</v>
      </c>
      <c r="I9" s="133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2079</v>
      </c>
      <c r="G10" s="124" t="s">
        <v>64</v>
      </c>
      <c r="H10" s="125">
        <v>-40</v>
      </c>
      <c r="I10" s="133" t="s">
        <v>87</v>
      </c>
      <c r="J10" s="125"/>
    </row>
    <row r="11" spans="1:10" thickBot="1">
      <c r="A11"/>
      <c r="B11"/>
      <c r="C11"/>
      <c r="G11" s="124" t="s">
        <v>30</v>
      </c>
      <c r="H11" s="125">
        <v>-4.99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65</v>
      </c>
      <c r="E12" s="109"/>
      <c r="G12" s="124" t="s">
        <v>57</v>
      </c>
      <c r="H12" s="126">
        <v>-27</v>
      </c>
      <c r="I12" s="133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31"/>
      <c r="B15" s="113">
        <v>891.38</v>
      </c>
      <c r="C15"/>
      <c r="D15"/>
      <c r="G15" s="124" t="s">
        <v>470</v>
      </c>
      <c r="H15" s="125">
        <v>-10</v>
      </c>
      <c r="I15" s="133" t="s">
        <v>87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/>
      <c r="G18" s="124" t="s">
        <v>479</v>
      </c>
      <c r="H18" s="125">
        <v>-5</v>
      </c>
      <c r="I18" s="133" t="s">
        <v>87</v>
      </c>
      <c r="J18" s="125"/>
    </row>
    <row r="19" spans="1:11" ht="14">
      <c r="A19" s="86" t="s">
        <v>35</v>
      </c>
      <c r="B19" s="87">
        <v>157869</v>
      </c>
      <c r="C19"/>
      <c r="D19"/>
      <c r="G19" s="124" t="s">
        <v>68</v>
      </c>
      <c r="H19" s="125">
        <v>-800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82960</v>
      </c>
      <c r="C20"/>
      <c r="D20" t="s">
        <v>69</v>
      </c>
      <c r="G20" s="124" t="s">
        <v>70</v>
      </c>
      <c r="H20" s="125">
        <v>-26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240829</v>
      </c>
      <c r="C21"/>
      <c r="D21" t="s">
        <v>71</v>
      </c>
      <c r="G21" s="124" t="s">
        <v>72</v>
      </c>
      <c r="H21" s="125">
        <v>-350</v>
      </c>
      <c r="I21" s="133" t="s">
        <v>87</v>
      </c>
      <c r="J21" s="125" t="s">
        <v>11</v>
      </c>
    </row>
    <row r="22" spans="1:11">
      <c r="A22" s="92" t="s">
        <v>40</v>
      </c>
      <c r="B22" s="93">
        <f>B23*0.2</f>
        <v>80000</v>
      </c>
      <c r="C22"/>
      <c r="D22" t="s">
        <v>73</v>
      </c>
      <c r="G22" s="124" t="s">
        <v>49</v>
      </c>
      <c r="H22" s="125">
        <v>-80</v>
      </c>
      <c r="I22" s="133" t="s">
        <v>87</v>
      </c>
      <c r="J22" s="125" t="s">
        <v>11</v>
      </c>
    </row>
    <row r="23" spans="1:11" ht="14">
      <c r="A23" s="86" t="s">
        <v>43</v>
      </c>
      <c r="B23" s="87">
        <v>400000</v>
      </c>
      <c r="C23"/>
      <c r="D23"/>
      <c r="G23" s="124" t="s">
        <v>74</v>
      </c>
      <c r="H23" s="125">
        <v>-11</v>
      </c>
      <c r="I23" s="133" t="s">
        <v>8</v>
      </c>
      <c r="J23" s="125"/>
    </row>
    <row r="24" spans="1:11">
      <c r="A24" s="91" t="s">
        <v>46</v>
      </c>
      <c r="B24" s="94">
        <f>SUM(B21:B22)-B23</f>
        <v>-79171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54</v>
      </c>
      <c r="H25" s="125">
        <v>-48</v>
      </c>
      <c r="I25" s="133" t="s">
        <v>87</v>
      </c>
      <c r="J25" s="125"/>
    </row>
    <row r="26" spans="1:11">
      <c r="A26" s="92" t="s">
        <v>76</v>
      </c>
      <c r="B26" s="93">
        <f>B25+B24</f>
        <v>370829</v>
      </c>
      <c r="C26" s="32"/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D27" s="3">
        <v>4674</v>
      </c>
      <c r="G27" s="124" t="s">
        <v>56</v>
      </c>
      <c r="H27" s="125">
        <v>-80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80</v>
      </c>
      <c r="H31" s="125">
        <v>-40</v>
      </c>
      <c r="I31" s="133" t="s">
        <v>87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82</v>
      </c>
      <c r="H32" s="125">
        <v>-257.70999999999998</v>
      </c>
      <c r="I32" s="133" t="s">
        <v>87</v>
      </c>
      <c r="J32" s="125"/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 t="s">
        <v>62</v>
      </c>
      <c r="H33" s="125">
        <v>-20</v>
      </c>
      <c r="I33" s="133" t="s">
        <v>87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-114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133</v>
      </c>
      <c r="H35" s="125"/>
      <c r="I35" s="133" t="s">
        <v>8</v>
      </c>
      <c r="J35" s="17" t="s">
        <v>11</v>
      </c>
    </row>
    <row r="36" spans="1:10">
      <c r="A36" s="31"/>
      <c r="C36" s="32"/>
      <c r="F36" s="30"/>
      <c r="G36" s="17" t="s">
        <v>86</v>
      </c>
      <c r="H36" s="125">
        <v>-20</v>
      </c>
      <c r="I36" s="133" t="s">
        <v>87</v>
      </c>
      <c r="J36" s="17"/>
    </row>
    <row r="37" spans="1:10">
      <c r="A37" s="31"/>
      <c r="C37" s="32"/>
      <c r="F37" s="30"/>
      <c r="G37" s="17"/>
      <c r="H37" s="125"/>
      <c r="I37" s="133" t="s">
        <v>8</v>
      </c>
      <c r="J37" s="17"/>
    </row>
    <row r="38" spans="1:10">
      <c r="A38" s="31"/>
      <c r="C38" s="32"/>
      <c r="F38" s="30"/>
      <c r="I38" s="133" t="s">
        <v>8</v>
      </c>
    </row>
    <row r="39" spans="1:10">
      <c r="A39" s="31"/>
      <c r="C39" s="32"/>
      <c r="F39" s="30"/>
      <c r="I39" s="133" t="s">
        <v>8</v>
      </c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1000000}"/>
  <conditionalFormatting sqref="G2:H11 J2:J31 G12 G13:H31 G33:H34">
    <cfRule type="expression" dxfId="131" priority="6">
      <formula>#REF!</formula>
    </cfRule>
  </conditionalFormatting>
  <conditionalFormatting sqref="H35:H37">
    <cfRule type="expression" dxfId="130" priority="5">
      <formula>#REF!</formula>
    </cfRule>
  </conditionalFormatting>
  <conditionalFormatting sqref="I2:I39">
    <cfRule type="containsText" dxfId="129" priority="1" operator="containsText" text="No">
      <formula>NOT(ISERROR(SEARCH("No",I2)))</formula>
    </cfRule>
    <cfRule type="containsText" dxfId="128" priority="2" operator="containsText" text="yes">
      <formula>NOT(ISERROR(SEARCH("yes",I2)))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27" priority="4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{6D1AD059-5E46-4CDC-B803-CB2A6DBE743C}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1AD059-5E46-4CDC-B803-CB2A6DBE74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S46"/>
  <sheetViews>
    <sheetView zoomScale="145" zoomScaleNormal="145" workbookViewId="0">
      <selection activeCell="B5" sqref="B5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4968.4399999999996</v>
      </c>
      <c r="C2" s="3"/>
      <c r="D2" s="7" t="s">
        <v>1</v>
      </c>
      <c r="E2" s="4">
        <v>77</v>
      </c>
      <c r="G2" s="124" t="s">
        <v>7</v>
      </c>
      <c r="H2" s="125">
        <v>-1268.67</v>
      </c>
      <c r="I2" s="133" t="s">
        <v>87</v>
      </c>
      <c r="J2" s="125"/>
    </row>
    <row r="3" spans="1:10">
      <c r="A3" s="100" t="s">
        <v>9</v>
      </c>
      <c r="B3" s="192">
        <f>SUMIF(I2:I28,"Yes*",H2:H28)</f>
        <v>-4419.9400000000005</v>
      </c>
      <c r="C3" s="3"/>
      <c r="D3" s="6" t="s">
        <v>471</v>
      </c>
      <c r="E3" s="5">
        <v>40</v>
      </c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3</v>
      </c>
      <c r="C4" s="3"/>
      <c r="D4" s="24" t="s">
        <v>61</v>
      </c>
      <c r="E4" s="25">
        <v>70</v>
      </c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0</v>
      </c>
      <c r="C5" s="3"/>
      <c r="D5" s="24" t="s">
        <v>62</v>
      </c>
      <c r="E5" s="25">
        <v>40</v>
      </c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3</v>
      </c>
      <c r="C6" s="3" t="s">
        <v>19</v>
      </c>
      <c r="D6" s="24" t="s">
        <v>20</v>
      </c>
      <c r="E6" s="25">
        <v>400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-2296.8000000000002</v>
      </c>
      <c r="C7" s="30"/>
      <c r="D7" s="24" t="s">
        <v>474</v>
      </c>
      <c r="E7" s="25">
        <v>50</v>
      </c>
      <c r="G7" s="124" t="s">
        <v>24</v>
      </c>
      <c r="H7" s="125">
        <v>-173</v>
      </c>
      <c r="I7" s="133" t="s">
        <v>87</v>
      </c>
      <c r="J7" s="125"/>
    </row>
    <row r="8" spans="1:10">
      <c r="A8" s="31"/>
      <c r="C8" s="30"/>
      <c r="D8" s="24" t="s">
        <v>475</v>
      </c>
      <c r="E8" s="25">
        <v>70</v>
      </c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31"/>
      <c r="B9" s="111"/>
      <c r="C9"/>
      <c r="D9" s="24"/>
      <c r="E9" s="25"/>
      <c r="G9" s="124" t="s">
        <v>27</v>
      </c>
      <c r="H9" s="125">
        <v>-16.989999999999998</v>
      </c>
      <c r="I9" s="133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747</v>
      </c>
      <c r="G10" s="124" t="s">
        <v>64</v>
      </c>
      <c r="H10" s="125">
        <v>-40</v>
      </c>
      <c r="I10" s="133" t="s">
        <v>87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65</v>
      </c>
      <c r="E12" s="109"/>
      <c r="G12" s="124" t="s">
        <v>57</v>
      </c>
      <c r="H12" s="126">
        <v>-27</v>
      </c>
      <c r="I12" s="133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31"/>
      <c r="B15" s="113">
        <v>891.38</v>
      </c>
      <c r="C15"/>
      <c r="D15"/>
      <c r="G15" s="124" t="s">
        <v>470</v>
      </c>
      <c r="H15" s="125">
        <v>-10</v>
      </c>
      <c r="I15" s="133" t="s">
        <v>87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/>
      <c r="G18" s="124" t="s">
        <v>469</v>
      </c>
      <c r="H18" s="125">
        <v>-120</v>
      </c>
      <c r="I18" s="133" t="s">
        <v>87</v>
      </c>
      <c r="J18" s="125"/>
    </row>
    <row r="19" spans="1:11" ht="14">
      <c r="A19" s="86" t="s">
        <v>35</v>
      </c>
      <c r="B19" s="87">
        <v>157869</v>
      </c>
      <c r="C19"/>
      <c r="D19"/>
      <c r="G19" s="124" t="s">
        <v>68</v>
      </c>
      <c r="H19" s="125">
        <v>-900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82960</v>
      </c>
      <c r="C20"/>
      <c r="D20" t="s">
        <v>69</v>
      </c>
      <c r="G20" s="124" t="s">
        <v>70</v>
      </c>
      <c r="H20" s="125">
        <v>-8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240829</v>
      </c>
      <c r="C21"/>
      <c r="D21" t="s">
        <v>71</v>
      </c>
      <c r="G21" s="124" t="s">
        <v>72</v>
      </c>
      <c r="H21" s="125">
        <v>-31</v>
      </c>
      <c r="I21" s="133" t="s">
        <v>87</v>
      </c>
      <c r="J21" s="125" t="s">
        <v>11</v>
      </c>
    </row>
    <row r="22" spans="1:11">
      <c r="A22" s="92" t="s">
        <v>40</v>
      </c>
      <c r="B22" s="93">
        <f>B23*0.2</f>
        <v>80000</v>
      </c>
      <c r="C22"/>
      <c r="D22" t="s">
        <v>73</v>
      </c>
      <c r="G22" s="124" t="s">
        <v>49</v>
      </c>
      <c r="H22" s="125">
        <v>-1000</v>
      </c>
      <c r="I22" s="133" t="s">
        <v>87</v>
      </c>
      <c r="J22" s="125" t="s">
        <v>11</v>
      </c>
    </row>
    <row r="23" spans="1:11" ht="14">
      <c r="A23" s="86" t="s">
        <v>43</v>
      </c>
      <c r="B23" s="87">
        <v>400000</v>
      </c>
      <c r="C23"/>
      <c r="D23"/>
      <c r="G23" s="124" t="s">
        <v>74</v>
      </c>
      <c r="H23" s="125">
        <v>-11</v>
      </c>
      <c r="I23" s="133" t="s">
        <v>87</v>
      </c>
      <c r="J23" s="125"/>
    </row>
    <row r="24" spans="1:11">
      <c r="A24" s="91" t="s">
        <v>46</v>
      </c>
      <c r="B24" s="94">
        <f>SUM(B21:B22)-B23</f>
        <v>-79171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D25" s="199" t="s">
        <v>472</v>
      </c>
      <c r="G25" s="124" t="s">
        <v>54</v>
      </c>
      <c r="H25" s="125">
        <v>-33</v>
      </c>
      <c r="I25" s="133" t="s">
        <v>87</v>
      </c>
      <c r="J25" s="125"/>
    </row>
    <row r="26" spans="1:11">
      <c r="A26" s="92" t="s">
        <v>76</v>
      </c>
      <c r="B26" s="93">
        <f>B25+B24</f>
        <v>370829</v>
      </c>
      <c r="C26" s="32"/>
      <c r="D26" s="199" t="s">
        <v>473</v>
      </c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G27" s="124" t="s">
        <v>56</v>
      </c>
      <c r="H27" s="125">
        <v>-80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87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80</v>
      </c>
      <c r="H31" s="125">
        <v>-40</v>
      </c>
      <c r="I31" s="133" t="s">
        <v>87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82</v>
      </c>
      <c r="H32" s="125">
        <v>-168</v>
      </c>
      <c r="I32" s="133" t="s">
        <v>87</v>
      </c>
      <c r="J32" s="125"/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 t="s">
        <v>62</v>
      </c>
      <c r="H33" s="125">
        <v>-20</v>
      </c>
      <c r="I33" s="133" t="s">
        <v>87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-114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60</v>
      </c>
      <c r="H35" s="125">
        <v>-150</v>
      </c>
      <c r="I35" s="133" t="s">
        <v>87</v>
      </c>
      <c r="J35" s="17" t="s">
        <v>11</v>
      </c>
    </row>
    <row r="36" spans="1:10">
      <c r="A36" s="31"/>
      <c r="C36" s="32"/>
      <c r="F36" s="30"/>
      <c r="G36" s="17" t="s">
        <v>86</v>
      </c>
      <c r="H36" s="125">
        <v>-15</v>
      </c>
      <c r="I36" s="133" t="s">
        <v>87</v>
      </c>
      <c r="J36" s="17"/>
    </row>
    <row r="37" spans="1:10">
      <c r="A37" s="31"/>
      <c r="C37" s="32"/>
      <c r="F37" s="30"/>
      <c r="G37" s="17"/>
      <c r="H37" s="125"/>
      <c r="I37" s="133" t="s">
        <v>8</v>
      </c>
      <c r="J37" s="17"/>
    </row>
    <row r="38" spans="1:10">
      <c r="A38" s="31"/>
      <c r="C38" s="32"/>
      <c r="F38" s="30"/>
      <c r="I38" s="133" t="s">
        <v>8</v>
      </c>
    </row>
    <row r="39" spans="1:10">
      <c r="A39" s="31"/>
      <c r="C39" s="32"/>
      <c r="F39" s="30"/>
      <c r="I39" s="133" t="s">
        <v>8</v>
      </c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2000000}"/>
  <conditionalFormatting sqref="G2:H11 J2:J31 G12 G13:H31 G33:H34">
    <cfRule type="expression" dxfId="126" priority="6">
      <formula>#REF!</formula>
    </cfRule>
  </conditionalFormatting>
  <conditionalFormatting sqref="H35:H37">
    <cfRule type="expression" dxfId="125" priority="5">
      <formula>#REF!</formula>
    </cfRule>
  </conditionalFormatting>
  <conditionalFormatting sqref="I2:I39">
    <cfRule type="containsText" dxfId="124" priority="1" operator="containsText" text="No">
      <formula>NOT(ISERROR(SEARCH("No",I2)))</formula>
    </cfRule>
    <cfRule type="containsText" dxfId="123" priority="2" operator="containsText" text="yes">
      <formula>NOT(ISERROR(SEARCH("yes",I2)))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22" priority="4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{258CEC73-4179-451D-B502-EE197F57C5B0}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8CEC73-4179-451D-B502-EE197F57C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S46"/>
  <sheetViews>
    <sheetView zoomScale="160" zoomScaleNormal="160" workbookViewId="0">
      <selection activeCell="B5" sqref="B5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4974.87</v>
      </c>
      <c r="C2" s="3"/>
      <c r="D2" s="7" t="s">
        <v>1</v>
      </c>
      <c r="E2" s="4">
        <v>146</v>
      </c>
      <c r="G2" s="124" t="s">
        <v>7</v>
      </c>
      <c r="H2" s="125">
        <v>-797</v>
      </c>
      <c r="I2" s="133" t="s">
        <v>87</v>
      </c>
      <c r="J2" s="125"/>
    </row>
    <row r="3" spans="1:10">
      <c r="A3" s="100" t="s">
        <v>9</v>
      </c>
      <c r="B3" s="192"/>
      <c r="C3" s="3"/>
      <c r="D3" s="6" t="s">
        <v>61</v>
      </c>
      <c r="E3" s="5">
        <v>30</v>
      </c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17.36</v>
      </c>
      <c r="C4" s="3"/>
      <c r="D4" s="24" t="s">
        <v>64</v>
      </c>
      <c r="E4" s="25"/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-11</v>
      </c>
      <c r="C5" s="3"/>
      <c r="D5" s="24" t="s">
        <v>62</v>
      </c>
      <c r="E5" s="25">
        <v>20</v>
      </c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6.3599999999999994</v>
      </c>
      <c r="C6" s="3" t="s">
        <v>19</v>
      </c>
      <c r="D6" s="24" t="s">
        <v>20</v>
      </c>
      <c r="E6" s="25">
        <v>460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-2140.8000000000002</v>
      </c>
      <c r="C7" s="30"/>
      <c r="D7" s="24"/>
      <c r="E7" s="25"/>
      <c r="G7" s="124" t="s">
        <v>24</v>
      </c>
      <c r="H7" s="125">
        <v>-173</v>
      </c>
      <c r="I7" s="133" t="s">
        <v>87</v>
      </c>
      <c r="J7" s="125"/>
    </row>
    <row r="8" spans="1:10">
      <c r="A8" s="31"/>
      <c r="C8" s="30"/>
      <c r="D8" s="24" t="s">
        <v>63</v>
      </c>
      <c r="E8" s="25"/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31"/>
      <c r="B9" s="111"/>
      <c r="C9"/>
      <c r="D9" s="24"/>
      <c r="E9" s="25"/>
      <c r="G9" s="124" t="s">
        <v>27</v>
      </c>
      <c r="H9" s="125">
        <v>-16.989999999999998</v>
      </c>
      <c r="I9" s="133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656</v>
      </c>
      <c r="G10" s="124" t="s">
        <v>88</v>
      </c>
      <c r="H10" s="125">
        <v>-24</v>
      </c>
      <c r="I10" s="133" t="s">
        <v>87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65</v>
      </c>
      <c r="E12" s="109"/>
      <c r="G12" s="124" t="s">
        <v>57</v>
      </c>
      <c r="H12" s="126">
        <v>-27</v>
      </c>
      <c r="I12" s="133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31"/>
      <c r="B15" s="113">
        <v>891.38</v>
      </c>
      <c r="C15"/>
      <c r="D15"/>
      <c r="G15" s="124" t="s">
        <v>89</v>
      </c>
      <c r="H15" s="125">
        <v>-100</v>
      </c>
      <c r="I15" s="133" t="s">
        <v>87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/>
      <c r="G18" s="124" t="s">
        <v>61</v>
      </c>
      <c r="H18" s="125"/>
      <c r="I18" s="133" t="s">
        <v>8</v>
      </c>
      <c r="J18" s="125"/>
    </row>
    <row r="19" spans="1:11" ht="14">
      <c r="A19" s="86" t="s">
        <v>35</v>
      </c>
      <c r="B19" s="87">
        <v>155468.76</v>
      </c>
      <c r="C19"/>
      <c r="D19"/>
      <c r="G19" s="124" t="s">
        <v>68</v>
      </c>
      <c r="H19" s="125">
        <v>-800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82260.05</v>
      </c>
      <c r="C20"/>
      <c r="D20" t="s">
        <v>69</v>
      </c>
      <c r="G20" s="124" t="s">
        <v>70</v>
      </c>
      <c r="H20" s="125">
        <v>-26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237728.81</v>
      </c>
      <c r="C21"/>
      <c r="D21" t="s">
        <v>71</v>
      </c>
      <c r="G21" s="124" t="s">
        <v>72</v>
      </c>
      <c r="H21" s="125">
        <v>-132</v>
      </c>
      <c r="I21" s="133" t="s">
        <v>87</v>
      </c>
      <c r="J21" s="125" t="s">
        <v>11</v>
      </c>
    </row>
    <row r="22" spans="1:11">
      <c r="A22" s="92" t="s">
        <v>40</v>
      </c>
      <c r="B22" s="93">
        <f>B23*0.2</f>
        <v>90000</v>
      </c>
      <c r="C22"/>
      <c r="D22" t="s">
        <v>73</v>
      </c>
      <c r="G22" s="124" t="s">
        <v>49</v>
      </c>
      <c r="H22" s="125">
        <v>-825</v>
      </c>
      <c r="I22" s="133" t="s">
        <v>87</v>
      </c>
      <c r="J22" s="125" t="s">
        <v>11</v>
      </c>
    </row>
    <row r="23" spans="1:11" ht="14">
      <c r="A23" s="86" t="s">
        <v>43</v>
      </c>
      <c r="B23" s="87">
        <v>450000</v>
      </c>
      <c r="C23"/>
      <c r="D23"/>
      <c r="G23" s="124" t="s">
        <v>74</v>
      </c>
      <c r="H23" s="125">
        <v>-11</v>
      </c>
      <c r="I23" s="133" t="s">
        <v>8</v>
      </c>
      <c r="J23" s="125"/>
    </row>
    <row r="24" spans="1:11">
      <c r="A24" s="91" t="s">
        <v>46</v>
      </c>
      <c r="B24" s="94">
        <f>SUM(B21:B22)-B23</f>
        <v>-122271.19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90</v>
      </c>
      <c r="H25" s="125">
        <v>-100</v>
      </c>
      <c r="I25" s="133" t="s">
        <v>87</v>
      </c>
      <c r="J25" s="125"/>
    </row>
    <row r="26" spans="1:11">
      <c r="A26" s="92" t="s">
        <v>76</v>
      </c>
      <c r="B26" s="93">
        <f>B25+B24</f>
        <v>327728.81</v>
      </c>
      <c r="C26" s="32"/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G27" s="124" t="s">
        <v>56</v>
      </c>
      <c r="H27" s="125">
        <v>-80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87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91</v>
      </c>
      <c r="H31" s="125">
        <v>-160</v>
      </c>
      <c r="I31" s="133" t="s">
        <v>87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82</v>
      </c>
      <c r="H32" s="125">
        <v>-373</v>
      </c>
      <c r="I32" s="133" t="s">
        <v>87</v>
      </c>
      <c r="J32" s="125"/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/>
      <c r="H33" s="125"/>
      <c r="I33" s="133" t="s">
        <v>8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-114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92</v>
      </c>
      <c r="H35" s="125">
        <v>-150</v>
      </c>
      <c r="I35" s="133" t="s">
        <v>87</v>
      </c>
      <c r="J35" s="17" t="s">
        <v>11</v>
      </c>
    </row>
    <row r="36" spans="1:10">
      <c r="A36" s="31"/>
      <c r="C36" s="32"/>
      <c r="F36" s="30"/>
      <c r="G36" s="17" t="s">
        <v>93</v>
      </c>
      <c r="H36" s="125">
        <v>-60</v>
      </c>
      <c r="I36" s="133" t="s">
        <v>87</v>
      </c>
      <c r="J36" s="17"/>
    </row>
    <row r="37" spans="1:10">
      <c r="A37" s="31"/>
      <c r="C37" s="32"/>
      <c r="F37" s="30"/>
      <c r="G37" s="17" t="s">
        <v>86</v>
      </c>
      <c r="H37" s="125">
        <v>-30</v>
      </c>
      <c r="I37" s="133" t="s">
        <v>87</v>
      </c>
      <c r="J37" s="17"/>
    </row>
    <row r="38" spans="1:10">
      <c r="A38" s="31"/>
      <c r="C38" s="32"/>
      <c r="F38" s="30"/>
      <c r="I38" s="133" t="s">
        <v>8</v>
      </c>
    </row>
    <row r="39" spans="1:10">
      <c r="A39" s="31"/>
      <c r="C39" s="32"/>
      <c r="F39" s="30"/>
      <c r="I39" s="133" t="s">
        <v>8</v>
      </c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3000000}"/>
  <conditionalFormatting sqref="G2:H11 J2:J31 G12 G13:H31 G33:H34">
    <cfRule type="expression" dxfId="121" priority="6">
      <formula>#REF!</formula>
    </cfRule>
  </conditionalFormatting>
  <conditionalFormatting sqref="H35:H37">
    <cfRule type="expression" dxfId="120" priority="5">
      <formula>#REF!</formula>
    </cfRule>
  </conditionalFormatting>
  <conditionalFormatting sqref="I2:I39">
    <cfRule type="containsText" dxfId="119" priority="1" operator="containsText" text="No">
      <formula>NOT(ISERROR(SEARCH("No",I2)))</formula>
    </cfRule>
    <cfRule type="containsText" dxfId="118" priority="2" operator="containsText" text="yes">
      <formula>NOT(ISERROR(SEARCH("yes",I2)))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17" priority="4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{6FDCC18C-C7C1-4070-9CF2-A12D91D7722D}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DCC18C-C7C1-4070-9CF2-A12D91D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S46"/>
  <sheetViews>
    <sheetView zoomScale="160" zoomScaleNormal="160" workbookViewId="0">
      <selection activeCell="B5" sqref="B5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4982.07</v>
      </c>
      <c r="C2" s="3"/>
      <c r="D2" s="7" t="s">
        <v>1</v>
      </c>
      <c r="E2" s="4">
        <v>60</v>
      </c>
      <c r="G2" s="124" t="s">
        <v>7</v>
      </c>
      <c r="H2" s="125">
        <v>-797</v>
      </c>
      <c r="I2" s="133" t="s">
        <v>87</v>
      </c>
      <c r="J2" s="125"/>
    </row>
    <row r="3" spans="1:10">
      <c r="A3" s="100" t="s">
        <v>9</v>
      </c>
      <c r="B3" s="192">
        <f>SUMIF(I2:I28,"Yes*",H2:H28)</f>
        <v>-4131.2700000000004</v>
      </c>
      <c r="C3" s="3"/>
      <c r="D3" s="6" t="s">
        <v>94</v>
      </c>
      <c r="E3" s="5"/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0.62</v>
      </c>
      <c r="C4" s="3"/>
      <c r="D4" s="24"/>
      <c r="E4" s="25"/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0</v>
      </c>
      <c r="C5" s="3"/>
      <c r="D5" s="24" t="s">
        <v>95</v>
      </c>
      <c r="E5" s="25"/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0.62</v>
      </c>
      <c r="C6" s="3" t="s">
        <v>19</v>
      </c>
      <c r="D6" s="24" t="s">
        <v>20</v>
      </c>
      <c r="E6" s="25">
        <v>426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-2113.8000000000002</v>
      </c>
      <c r="C7" s="30"/>
      <c r="D7" s="24" t="s">
        <v>96</v>
      </c>
      <c r="E7" s="25"/>
      <c r="G7" s="124" t="s">
        <v>24</v>
      </c>
      <c r="H7" s="125">
        <v>-173</v>
      </c>
      <c r="I7" s="133" t="s">
        <v>87</v>
      </c>
      <c r="J7" s="125"/>
    </row>
    <row r="8" spans="1:10">
      <c r="A8" s="31"/>
      <c r="C8" s="30"/>
      <c r="D8" s="24" t="s">
        <v>63</v>
      </c>
      <c r="E8" s="25">
        <v>20</v>
      </c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31"/>
      <c r="B9" s="111"/>
      <c r="C9"/>
      <c r="D9" s="24" t="s">
        <v>95</v>
      </c>
      <c r="E9" s="25"/>
      <c r="G9" s="124" t="s">
        <v>27</v>
      </c>
      <c r="H9" s="125">
        <v>-16.989999999999998</v>
      </c>
      <c r="I9" s="133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506</v>
      </c>
      <c r="G10" s="124" t="s">
        <v>60</v>
      </c>
      <c r="H10" s="125">
        <v>-100</v>
      </c>
      <c r="I10" s="133" t="s">
        <v>87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65</v>
      </c>
      <c r="E12" s="109"/>
      <c r="G12" s="124" t="s">
        <v>57</v>
      </c>
      <c r="H12" s="126">
        <v>-27</v>
      </c>
      <c r="I12" s="133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31"/>
      <c r="B15" s="113">
        <v>891.38</v>
      </c>
      <c r="C15"/>
      <c r="D15"/>
      <c r="G15" s="124" t="s">
        <v>66</v>
      </c>
      <c r="H15" s="125">
        <v>-160</v>
      </c>
      <c r="I15" s="133" t="s">
        <v>87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/>
      <c r="G18" s="124" t="s">
        <v>97</v>
      </c>
      <c r="H18" s="125">
        <v>-159</v>
      </c>
      <c r="I18" s="133" t="s">
        <v>87</v>
      </c>
      <c r="J18" s="125"/>
    </row>
    <row r="19" spans="1:11" ht="14">
      <c r="A19" s="86" t="s">
        <v>35</v>
      </c>
      <c r="B19" s="87">
        <v>157869</v>
      </c>
      <c r="C19"/>
      <c r="D19"/>
      <c r="G19" s="124" t="s">
        <v>68</v>
      </c>
      <c r="H19" s="125">
        <v>-800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82960</v>
      </c>
      <c r="C20"/>
      <c r="D20" t="s">
        <v>69</v>
      </c>
      <c r="G20" s="124" t="s">
        <v>70</v>
      </c>
      <c r="H20" s="125">
        <v>-26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240829</v>
      </c>
      <c r="C21"/>
      <c r="D21" t="s">
        <v>71</v>
      </c>
      <c r="G21" s="124" t="s">
        <v>72</v>
      </c>
      <c r="H21" s="125">
        <v>-105</v>
      </c>
      <c r="I21" s="133" t="s">
        <v>87</v>
      </c>
      <c r="J21" s="125" t="s">
        <v>11</v>
      </c>
    </row>
    <row r="22" spans="1:11">
      <c r="A22" s="92" t="s">
        <v>40</v>
      </c>
      <c r="B22" s="93">
        <f>B23*0.2</f>
        <v>80000</v>
      </c>
      <c r="C22"/>
      <c r="D22" t="s">
        <v>73</v>
      </c>
      <c r="G22" s="124" t="s">
        <v>49</v>
      </c>
      <c r="H22" s="125">
        <v>-825</v>
      </c>
      <c r="I22" s="133" t="s">
        <v>87</v>
      </c>
      <c r="J22" s="125" t="s">
        <v>11</v>
      </c>
    </row>
    <row r="23" spans="1:11" ht="14">
      <c r="A23" s="86" t="s">
        <v>43</v>
      </c>
      <c r="B23" s="87">
        <v>400000</v>
      </c>
      <c r="C23"/>
      <c r="D23"/>
      <c r="G23" s="124" t="s">
        <v>74</v>
      </c>
      <c r="H23" s="125">
        <v>-11</v>
      </c>
      <c r="I23" s="133" t="s">
        <v>87</v>
      </c>
      <c r="J23" s="125"/>
    </row>
    <row r="24" spans="1:11">
      <c r="A24" s="91" t="s">
        <v>46</v>
      </c>
      <c r="B24" s="94">
        <f>SUM(B21:B22)-B23</f>
        <v>-79171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98</v>
      </c>
      <c r="H25" s="125">
        <v>-150</v>
      </c>
      <c r="I25" s="133" t="s">
        <v>87</v>
      </c>
      <c r="J25" s="125"/>
    </row>
    <row r="26" spans="1:11">
      <c r="A26" s="92" t="s">
        <v>76</v>
      </c>
      <c r="B26" s="93">
        <f>B25+B24</f>
        <v>370829</v>
      </c>
      <c r="C26" s="32"/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G27" s="124" t="s">
        <v>56</v>
      </c>
      <c r="H27" s="125">
        <v>-80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87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63</v>
      </c>
      <c r="H31" s="125">
        <v>-500</v>
      </c>
      <c r="I31" s="133" t="s">
        <v>87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82</v>
      </c>
      <c r="H32" s="125">
        <v>-313</v>
      </c>
      <c r="I32" s="133" t="s">
        <v>87</v>
      </c>
      <c r="J32" s="125"/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 t="s">
        <v>99</v>
      </c>
      <c r="H33" s="125">
        <v>-30</v>
      </c>
      <c r="I33" s="133" t="s">
        <v>87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-114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85</v>
      </c>
      <c r="H35" s="125">
        <v>-50</v>
      </c>
      <c r="I35" s="133" t="s">
        <v>87</v>
      </c>
      <c r="J35" s="17" t="s">
        <v>11</v>
      </c>
    </row>
    <row r="36" spans="1:10">
      <c r="A36" s="31"/>
      <c r="C36" s="32"/>
      <c r="F36" s="30"/>
      <c r="G36" s="17" t="s">
        <v>86</v>
      </c>
      <c r="H36" s="125">
        <v>-20</v>
      </c>
      <c r="I36" s="133" t="s">
        <v>87</v>
      </c>
      <c r="J36" s="17"/>
    </row>
    <row r="37" spans="1:10">
      <c r="A37" s="31"/>
      <c r="C37" s="32"/>
      <c r="F37" s="30"/>
      <c r="G37" s="17"/>
      <c r="H37" s="125"/>
      <c r="I37" s="133" t="s">
        <v>8</v>
      </c>
      <c r="J37" s="17"/>
    </row>
    <row r="38" spans="1:10">
      <c r="A38" s="31"/>
      <c r="C38" s="32"/>
      <c r="F38" s="30"/>
    </row>
    <row r="39" spans="1:10">
      <c r="A39" s="31"/>
      <c r="C39" s="32"/>
      <c r="F39" s="30"/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4000000}"/>
  <conditionalFormatting sqref="G2:H11 J2:J31 G12 G33:H34">
    <cfRule type="expression" dxfId="116" priority="7">
      <formula>#REF!</formula>
    </cfRule>
  </conditionalFormatting>
  <conditionalFormatting sqref="G13:H31">
    <cfRule type="expression" dxfId="115" priority="1">
      <formula>#REF!</formula>
    </cfRule>
  </conditionalFormatting>
  <conditionalFormatting sqref="H35:H37">
    <cfRule type="expression" dxfId="114" priority="6">
      <formula>#REF!</formula>
    </cfRule>
  </conditionalFormatting>
  <conditionalFormatting sqref="I2:I37">
    <cfRule type="containsText" dxfId="113" priority="2" operator="containsText" text="No">
      <formula>NOT(ISERROR(SEARCH("No",I2)))</formula>
    </cfRule>
    <cfRule type="containsText" dxfId="112" priority="3" operator="containsText" text="yes">
      <formula>NOT(ISERROR(SEARCH("yes",I2)))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11" priority="5">
      <formula>#REF!</formula>
    </cfRule>
  </conditionalFormatting>
  <conditionalFormatting sqref="J2:J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{AAC49289-9654-40D0-9786-D5ED313BCDE5}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C49289-9654-40D0-9786-D5ED313BCD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S46"/>
  <sheetViews>
    <sheetView zoomScale="175" zoomScaleNormal="175" workbookViewId="0">
      <selection activeCell="H30" sqref="H30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1.0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4954</v>
      </c>
      <c r="C2" s="3"/>
      <c r="D2" s="7" t="s">
        <v>1</v>
      </c>
      <c r="E2" s="4">
        <v>60</v>
      </c>
      <c r="G2" s="124" t="s">
        <v>7</v>
      </c>
      <c r="H2" s="125">
        <v>-897</v>
      </c>
      <c r="I2" s="133" t="s">
        <v>87</v>
      </c>
      <c r="J2" s="125"/>
    </row>
    <row r="3" spans="1:10">
      <c r="A3" s="100" t="s">
        <v>9</v>
      </c>
      <c r="B3" s="192">
        <f>SUMIF(I2:I28,"Yes*",H2:H28)</f>
        <v>-4077.27</v>
      </c>
      <c r="C3" s="3"/>
      <c r="D3" s="6" t="s">
        <v>94</v>
      </c>
      <c r="E3" s="5"/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32.549999999999997</v>
      </c>
      <c r="C4" s="3"/>
      <c r="D4" s="24"/>
      <c r="E4" s="25"/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0</v>
      </c>
      <c r="C5" s="3"/>
      <c r="D5" s="24" t="s">
        <v>95</v>
      </c>
      <c r="E5" s="25"/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32.549999999999997</v>
      </c>
      <c r="C6" s="3" t="s">
        <v>19</v>
      </c>
      <c r="D6" s="24" t="s">
        <v>20</v>
      </c>
      <c r="E6" s="25">
        <v>415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-2343.8000000000002</v>
      </c>
      <c r="C7" s="30"/>
      <c r="D7" s="24" t="s">
        <v>96</v>
      </c>
      <c r="E7" s="25"/>
      <c r="G7" s="124" t="s">
        <v>24</v>
      </c>
      <c r="H7" s="125">
        <v>-173</v>
      </c>
      <c r="I7" s="133" t="s">
        <v>87</v>
      </c>
      <c r="J7" s="125"/>
    </row>
    <row r="8" spans="1:10">
      <c r="A8" s="31"/>
      <c r="C8" s="30"/>
      <c r="D8" s="24" t="s">
        <v>63</v>
      </c>
      <c r="E8" s="25">
        <v>320</v>
      </c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31"/>
      <c r="B9" s="111"/>
      <c r="C9"/>
      <c r="D9" s="24" t="s">
        <v>95</v>
      </c>
      <c r="E9" s="25"/>
      <c r="G9" s="124" t="s">
        <v>27</v>
      </c>
      <c r="H9" s="125">
        <v>-16.989999999999998</v>
      </c>
      <c r="I9" s="133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795</v>
      </c>
      <c r="G10" s="124" t="s">
        <v>100</v>
      </c>
      <c r="H10" s="125">
        <v>-180</v>
      </c>
      <c r="I10" s="133" t="s">
        <v>87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65</v>
      </c>
      <c r="E12" s="109"/>
      <c r="G12" s="124" t="s">
        <v>57</v>
      </c>
      <c r="H12" s="126">
        <v>-27</v>
      </c>
      <c r="I12" s="133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31"/>
      <c r="B15" s="113">
        <v>891.38</v>
      </c>
      <c r="C15"/>
      <c r="D15"/>
      <c r="G15" s="124" t="s">
        <v>60</v>
      </c>
      <c r="H15" s="125"/>
      <c r="I15" s="133" t="s">
        <v>8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/>
      <c r="G18" s="124" t="s">
        <v>101</v>
      </c>
      <c r="H18" s="125"/>
      <c r="I18" s="133" t="s">
        <v>8</v>
      </c>
      <c r="J18" s="125"/>
    </row>
    <row r="19" spans="1:11" ht="14">
      <c r="A19" s="86" t="s">
        <v>35</v>
      </c>
      <c r="B19" s="87">
        <v>157869</v>
      </c>
      <c r="C19"/>
      <c r="D19"/>
      <c r="G19" s="124" t="s">
        <v>68</v>
      </c>
      <c r="H19" s="125">
        <v>-900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82960</v>
      </c>
      <c r="C20"/>
      <c r="D20" t="s">
        <v>69</v>
      </c>
      <c r="G20" s="124" t="s">
        <v>70</v>
      </c>
      <c r="H20" s="125">
        <v>-26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240829</v>
      </c>
      <c r="C21"/>
      <c r="D21" t="s">
        <v>71</v>
      </c>
      <c r="G21" s="124" t="s">
        <v>72</v>
      </c>
      <c r="H21" s="125">
        <v>-60</v>
      </c>
      <c r="I21" s="133" t="s">
        <v>87</v>
      </c>
      <c r="J21" s="125" t="s">
        <v>11</v>
      </c>
    </row>
    <row r="22" spans="1:11">
      <c r="A22" s="92" t="s">
        <v>40</v>
      </c>
      <c r="B22" s="93">
        <f>B23*0.2</f>
        <v>80000</v>
      </c>
      <c r="C22"/>
      <c r="D22" t="s">
        <v>73</v>
      </c>
      <c r="G22" s="124" t="s">
        <v>49</v>
      </c>
      <c r="H22" s="125">
        <v>-1000</v>
      </c>
      <c r="I22" s="133" t="s">
        <v>87</v>
      </c>
      <c r="J22" s="125" t="s">
        <v>11</v>
      </c>
    </row>
    <row r="23" spans="1:11" ht="14">
      <c r="A23" s="86" t="s">
        <v>43</v>
      </c>
      <c r="B23" s="87">
        <v>400000</v>
      </c>
      <c r="C23"/>
      <c r="D23"/>
      <c r="G23" s="124" t="s">
        <v>74</v>
      </c>
      <c r="H23" s="125">
        <v>-11</v>
      </c>
      <c r="I23" s="133" t="s">
        <v>87</v>
      </c>
      <c r="J23" s="125"/>
    </row>
    <row r="24" spans="1:11">
      <c r="A24" s="91" t="s">
        <v>46</v>
      </c>
      <c r="B24" s="94">
        <f>SUM(B21:B22)-B23</f>
        <v>-79171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102</v>
      </c>
      <c r="H25" s="125">
        <v>-5</v>
      </c>
      <c r="I25" s="133" t="s">
        <v>87</v>
      </c>
      <c r="J25" s="125"/>
    </row>
    <row r="26" spans="1:11">
      <c r="A26" s="92" t="s">
        <v>76</v>
      </c>
      <c r="B26" s="93">
        <f>B25+B24</f>
        <v>370829</v>
      </c>
      <c r="C26" s="32"/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G27" s="124" t="s">
        <v>56</v>
      </c>
      <c r="H27" s="125">
        <v>-80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87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63</v>
      </c>
      <c r="H31" s="125">
        <v>-500</v>
      </c>
      <c r="I31" s="133" t="s">
        <v>87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82</v>
      </c>
      <c r="H32" s="125">
        <v>-160</v>
      </c>
      <c r="I32" s="133" t="s">
        <v>87</v>
      </c>
      <c r="J32" s="125"/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 t="s">
        <v>99</v>
      </c>
      <c r="H33" s="125"/>
      <c r="I33" s="133" t="s">
        <v>8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-114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85</v>
      </c>
      <c r="H35" s="125">
        <v>-50</v>
      </c>
      <c r="I35" s="133" t="s">
        <v>87</v>
      </c>
      <c r="J35" s="17" t="s">
        <v>11</v>
      </c>
    </row>
    <row r="36" spans="1:10">
      <c r="A36" s="31"/>
      <c r="C36" s="32"/>
      <c r="F36" s="30"/>
      <c r="G36" s="17" t="s">
        <v>103</v>
      </c>
      <c r="H36" s="125"/>
      <c r="I36" s="133" t="s">
        <v>8</v>
      </c>
      <c r="J36" s="17"/>
    </row>
    <row r="37" spans="1:10">
      <c r="A37" s="31"/>
      <c r="C37" s="32"/>
      <c r="F37" s="30"/>
      <c r="G37" s="17"/>
      <c r="H37" s="125"/>
      <c r="I37" s="133" t="s">
        <v>8</v>
      </c>
      <c r="J37" s="17"/>
    </row>
    <row r="38" spans="1:10">
      <c r="A38" s="31"/>
      <c r="C38" s="32"/>
      <c r="F38" s="30"/>
    </row>
    <row r="39" spans="1:10">
      <c r="A39" s="31"/>
      <c r="C39" s="32"/>
      <c r="F39" s="30"/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5000000}"/>
  <conditionalFormatting sqref="G2:H11 J2:J31 G12 G13:H31 G33:H34">
    <cfRule type="expression" dxfId="110" priority="6">
      <formula>#REF!</formula>
    </cfRule>
  </conditionalFormatting>
  <conditionalFormatting sqref="H35:H37">
    <cfRule type="expression" dxfId="109" priority="5">
      <formula>#REF!</formula>
    </cfRule>
  </conditionalFormatting>
  <conditionalFormatting sqref="I2:I37">
    <cfRule type="containsText" dxfId="108" priority="1" operator="containsText" text="No">
      <formula>NOT(ISERROR(SEARCH("No",I2)))</formula>
    </cfRule>
    <cfRule type="containsText" dxfId="107" priority="2" operator="containsText" text="yes">
      <formula>NOT(ISERROR(SEARCH("yes",I2)))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06" priority="4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{455B0D60-DE3C-4997-BCBA-7311E0627FBF}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5B0D60-DE3C-4997-BCBA-7311E06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S46"/>
  <sheetViews>
    <sheetView zoomScale="205" zoomScaleNormal="205" workbookViewId="0">
      <selection activeCell="I11" sqref="I11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4911.8599999999997</v>
      </c>
      <c r="C2" s="3"/>
      <c r="D2" s="7" t="s">
        <v>1</v>
      </c>
      <c r="E2" s="4">
        <v>100</v>
      </c>
      <c r="G2" s="124" t="s">
        <v>7</v>
      </c>
      <c r="H2" s="125">
        <v>-897</v>
      </c>
      <c r="I2" s="133" t="s">
        <v>87</v>
      </c>
      <c r="J2" s="125"/>
    </row>
    <row r="3" spans="1:10">
      <c r="A3" s="100" t="s">
        <v>9</v>
      </c>
      <c r="B3" s="192">
        <f>SUMIF(I2:I28,"Yes*",H2:H28)</f>
        <v>-4033.2599999999998</v>
      </c>
      <c r="C3" s="3"/>
      <c r="D3" s="6" t="s">
        <v>94</v>
      </c>
      <c r="E3" s="5"/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43.18</v>
      </c>
      <c r="C4" s="3"/>
      <c r="D4" s="24"/>
      <c r="E4" s="25"/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-41</v>
      </c>
      <c r="C5" s="3"/>
      <c r="D5" s="24" t="s">
        <v>95</v>
      </c>
      <c r="E5" s="25">
        <v>25</v>
      </c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2.1799999999999997</v>
      </c>
      <c r="C6" s="3" t="s">
        <v>19</v>
      </c>
      <c r="D6" s="24" t="s">
        <v>20</v>
      </c>
      <c r="E6" s="25">
        <v>400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-1983.8</v>
      </c>
      <c r="C7" s="30"/>
      <c r="D7" s="24" t="s">
        <v>104</v>
      </c>
      <c r="E7" s="25"/>
      <c r="G7" s="124" t="s">
        <v>24</v>
      </c>
      <c r="H7" s="125">
        <v>-118</v>
      </c>
      <c r="I7" s="133" t="s">
        <v>87</v>
      </c>
      <c r="J7" s="125"/>
    </row>
    <row r="8" spans="1:10">
      <c r="A8" s="31"/>
      <c r="C8" s="30"/>
      <c r="D8" s="24" t="s">
        <v>63</v>
      </c>
      <c r="E8" s="25">
        <v>90</v>
      </c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31"/>
      <c r="B9" s="111"/>
      <c r="C9"/>
      <c r="D9" s="24" t="s">
        <v>95</v>
      </c>
      <c r="E9" s="25"/>
      <c r="G9" s="124" t="s">
        <v>27</v>
      </c>
      <c r="H9" s="125">
        <v>-17.989999999999998</v>
      </c>
      <c r="I9" s="133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615</v>
      </c>
      <c r="G10" s="124" t="s">
        <v>100</v>
      </c>
      <c r="H10" s="125">
        <v>-285</v>
      </c>
      <c r="I10" s="133" t="s">
        <v>87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65</v>
      </c>
      <c r="E12" s="109"/>
      <c r="G12" s="124" t="s">
        <v>57</v>
      </c>
      <c r="H12" s="126">
        <v>-26.99</v>
      </c>
      <c r="I12" s="133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-14</v>
      </c>
      <c r="I14" s="133" t="s">
        <v>87</v>
      </c>
      <c r="J14" s="125"/>
    </row>
    <row r="15" spans="1:10">
      <c r="A15" s="31"/>
      <c r="B15" s="113">
        <v>891.38</v>
      </c>
      <c r="C15"/>
      <c r="D15"/>
      <c r="G15" s="124" t="s">
        <v>60</v>
      </c>
      <c r="H15" s="125">
        <v>-100</v>
      </c>
      <c r="I15" s="133" t="s">
        <v>87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/>
      <c r="G18" s="124" t="s">
        <v>101</v>
      </c>
      <c r="H18" s="125">
        <v>-180</v>
      </c>
      <c r="I18" s="133" t="s">
        <v>87</v>
      </c>
      <c r="J18" s="125"/>
    </row>
    <row r="19" spans="1:11" ht="14">
      <c r="A19" s="86" t="s">
        <v>35</v>
      </c>
      <c r="B19" s="87">
        <v>157869</v>
      </c>
      <c r="C19"/>
      <c r="D19"/>
      <c r="G19" s="124" t="s">
        <v>68</v>
      </c>
      <c r="H19" s="125">
        <v>-800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82960</v>
      </c>
      <c r="C20"/>
      <c r="D20" t="s">
        <v>69</v>
      </c>
      <c r="G20" s="124" t="s">
        <v>70</v>
      </c>
      <c r="H20" s="125">
        <v>-26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240829</v>
      </c>
      <c r="C21"/>
      <c r="D21" t="s">
        <v>71</v>
      </c>
      <c r="G21" s="124" t="s">
        <v>72</v>
      </c>
      <c r="H21" s="125"/>
      <c r="I21" s="133" t="s">
        <v>8</v>
      </c>
      <c r="J21" s="125" t="s">
        <v>11</v>
      </c>
    </row>
    <row r="22" spans="1:11">
      <c r="A22" s="92" t="s">
        <v>40</v>
      </c>
      <c r="B22" s="93">
        <f>B23*0.2</f>
        <v>80000</v>
      </c>
      <c r="C22"/>
      <c r="D22" t="s">
        <v>73</v>
      </c>
      <c r="G22" s="124" t="s">
        <v>49</v>
      </c>
      <c r="H22" s="125">
        <v>-800</v>
      </c>
      <c r="I22" s="133" t="s">
        <v>87</v>
      </c>
      <c r="J22" s="125" t="s">
        <v>11</v>
      </c>
    </row>
    <row r="23" spans="1:11" ht="14">
      <c r="A23" s="86" t="s">
        <v>43</v>
      </c>
      <c r="B23" s="87">
        <v>400000</v>
      </c>
      <c r="C23"/>
      <c r="D23"/>
      <c r="G23" s="124" t="s">
        <v>74</v>
      </c>
      <c r="H23" s="125">
        <v>-11</v>
      </c>
      <c r="I23" s="133" t="s">
        <v>8</v>
      </c>
      <c r="J23" s="125"/>
    </row>
    <row r="24" spans="1:11">
      <c r="A24" s="91" t="s">
        <v>46</v>
      </c>
      <c r="B24" s="94">
        <f>SUM(B21:B22)-B23</f>
        <v>-79171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102</v>
      </c>
      <c r="H25" s="125"/>
      <c r="I25" s="133" t="s">
        <v>8</v>
      </c>
      <c r="J25" s="125"/>
    </row>
    <row r="26" spans="1:11">
      <c r="A26" s="92" t="s">
        <v>76</v>
      </c>
      <c r="B26" s="93">
        <f>B25+B24</f>
        <v>370829</v>
      </c>
      <c r="C26" s="32"/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G27" s="124" t="s">
        <v>56</v>
      </c>
      <c r="H27" s="125">
        <v>-80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87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63</v>
      </c>
      <c r="H31" s="125">
        <v>-195</v>
      </c>
      <c r="I31" s="133" t="s">
        <v>87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82</v>
      </c>
      <c r="H32" s="125">
        <v>-296</v>
      </c>
      <c r="I32" s="133" t="s">
        <v>87</v>
      </c>
      <c r="J32" s="125"/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 t="s">
        <v>105</v>
      </c>
      <c r="H33" s="125">
        <v>-935</v>
      </c>
      <c r="I33" s="133" t="s">
        <v>87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-114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85</v>
      </c>
      <c r="H35" s="125">
        <v>-50</v>
      </c>
      <c r="I35" s="133" t="s">
        <v>87</v>
      </c>
      <c r="J35" s="17" t="s">
        <v>11</v>
      </c>
    </row>
    <row r="36" spans="1:10">
      <c r="A36" s="31"/>
      <c r="C36" s="32"/>
      <c r="F36" s="30"/>
      <c r="G36" s="17" t="s">
        <v>106</v>
      </c>
      <c r="H36" s="125">
        <v>-30</v>
      </c>
      <c r="I36" s="133" t="s">
        <v>8</v>
      </c>
      <c r="J36" s="17"/>
    </row>
    <row r="37" spans="1:10">
      <c r="A37" s="31"/>
      <c r="C37" s="32"/>
      <c r="F37" s="30"/>
      <c r="G37" s="17"/>
      <c r="H37" s="125"/>
      <c r="I37" s="133" t="s">
        <v>8</v>
      </c>
      <c r="J37" s="17"/>
    </row>
    <row r="38" spans="1:10">
      <c r="A38" s="31"/>
      <c r="C38" s="32"/>
      <c r="F38" s="30"/>
    </row>
    <row r="39" spans="1:10">
      <c r="A39" s="31"/>
      <c r="C39" s="32"/>
      <c r="F39" s="30"/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6000000}"/>
  <conditionalFormatting sqref="G2:H11 J2:J31 G12 G13:H31 G33:H34">
    <cfRule type="expression" dxfId="105" priority="6">
      <formula>#REF!</formula>
    </cfRule>
  </conditionalFormatting>
  <conditionalFormatting sqref="H35:H37">
    <cfRule type="expression" dxfId="104" priority="5">
      <formula>#REF!</formula>
    </cfRule>
  </conditionalFormatting>
  <conditionalFormatting sqref="I2:I37">
    <cfRule type="containsText" dxfId="103" priority="1" operator="containsText" text="No">
      <formula>NOT(ISERROR(SEARCH("No",I2)))</formula>
    </cfRule>
    <cfRule type="containsText" dxfId="102" priority="2" operator="containsText" text="yes">
      <formula>NOT(ISERROR(SEARCH("yes",I2)))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01" priority="4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{9E0A9BA9-0D83-4A4E-A52A-CD0CA4158846}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0A9BA9-0D83-4A4E-A52A-CD0CA4158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S46"/>
  <sheetViews>
    <sheetView zoomScale="205" zoomScaleNormal="205" workbookViewId="0">
      <selection activeCell="D2" sqref="D2:E9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5038.84</v>
      </c>
      <c r="C2" s="3"/>
      <c r="D2" s="7" t="s">
        <v>1</v>
      </c>
      <c r="E2" s="4">
        <v>14</v>
      </c>
      <c r="G2" s="124" t="s">
        <v>7</v>
      </c>
      <c r="H2" s="125">
        <v>-897</v>
      </c>
      <c r="I2" s="133" t="s">
        <v>87</v>
      </c>
      <c r="J2" s="125"/>
    </row>
    <row r="3" spans="1:10">
      <c r="A3" s="100" t="s">
        <v>9</v>
      </c>
      <c r="B3" s="192">
        <f>SUMIF(I2:I28,"Yes*",H2:H28)</f>
        <v>-4823.2700000000004</v>
      </c>
      <c r="C3" s="3"/>
      <c r="D3" s="6" t="s">
        <v>94</v>
      </c>
      <c r="E3" s="5"/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33.36</v>
      </c>
      <c r="C4" s="3"/>
      <c r="D4" s="24"/>
      <c r="E4" s="25"/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-29</v>
      </c>
      <c r="C5" s="3"/>
      <c r="D5" s="24" t="s">
        <v>95</v>
      </c>
      <c r="E5" s="25">
        <v>531.76</v>
      </c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4.3599999999999994</v>
      </c>
      <c r="C6" s="3" t="s">
        <v>19</v>
      </c>
      <c r="D6" s="24" t="s">
        <v>20</v>
      </c>
      <c r="E6" s="25">
        <v>390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-2223.8000000000002</v>
      </c>
      <c r="C7" s="30"/>
      <c r="D7" s="24" t="s">
        <v>104</v>
      </c>
      <c r="E7" s="25"/>
      <c r="G7" s="124" t="s">
        <v>24</v>
      </c>
      <c r="H7" s="125">
        <v>-118</v>
      </c>
      <c r="I7" s="133" t="s">
        <v>87</v>
      </c>
      <c r="J7" s="125"/>
    </row>
    <row r="8" spans="1:10">
      <c r="A8" s="31"/>
      <c r="C8" s="30"/>
      <c r="D8" s="24" t="s">
        <v>107</v>
      </c>
      <c r="E8" s="25"/>
      <c r="G8" s="124" t="s">
        <v>25</v>
      </c>
      <c r="H8" s="125">
        <v>-10</v>
      </c>
      <c r="I8" s="133" t="s">
        <v>87</v>
      </c>
      <c r="J8" s="125"/>
    </row>
    <row r="9" spans="1:10" ht="15" thickBot="1">
      <c r="A9" s="31"/>
      <c r="B9" s="111"/>
      <c r="C9"/>
      <c r="D9" s="24" t="s">
        <v>95</v>
      </c>
      <c r="E9" s="25"/>
      <c r="G9" s="124" t="s">
        <v>27</v>
      </c>
      <c r="H9" s="125">
        <v>-16.989999999999998</v>
      </c>
      <c r="I9" s="133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935.76</v>
      </c>
      <c r="G10" s="124" t="s">
        <v>100</v>
      </c>
      <c r="H10" s="125">
        <v>-650</v>
      </c>
      <c r="I10" s="133" t="s">
        <v>87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65</v>
      </c>
      <c r="E12" s="109"/>
      <c r="G12" s="124" t="s">
        <v>32</v>
      </c>
      <c r="H12" s="126">
        <v>-7</v>
      </c>
      <c r="I12" s="133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31"/>
      <c r="B15" s="113">
        <v>891.38</v>
      </c>
      <c r="C15"/>
      <c r="D15"/>
      <c r="G15" s="124" t="s">
        <v>108</v>
      </c>
      <c r="H15" s="125">
        <v>-225</v>
      </c>
      <c r="I15" s="133" t="s">
        <v>87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/>
      <c r="G18" s="124" t="s">
        <v>80</v>
      </c>
      <c r="H18" s="125">
        <v>-300</v>
      </c>
      <c r="I18" s="133" t="s">
        <v>87</v>
      </c>
      <c r="J18" s="125"/>
    </row>
    <row r="19" spans="1:11" ht="14">
      <c r="A19" s="86" t="s">
        <v>35</v>
      </c>
      <c r="B19" s="87">
        <v>157869</v>
      </c>
      <c r="C19"/>
      <c r="D19"/>
      <c r="G19" s="124" t="s">
        <v>68</v>
      </c>
      <c r="H19" s="125">
        <v>-900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82960</v>
      </c>
      <c r="C20"/>
      <c r="D20" t="s">
        <v>69</v>
      </c>
      <c r="G20" s="124" t="s">
        <v>109</v>
      </c>
      <c r="H20" s="125">
        <v>-26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240829</v>
      </c>
      <c r="C21"/>
      <c r="D21" t="s">
        <v>71</v>
      </c>
      <c r="G21" s="124" t="s">
        <v>110</v>
      </c>
      <c r="H21" s="125">
        <v>-100</v>
      </c>
      <c r="I21" s="133" t="s">
        <v>87</v>
      </c>
      <c r="J21" s="125" t="s">
        <v>11</v>
      </c>
    </row>
    <row r="22" spans="1:11">
      <c r="A22" s="92" t="s">
        <v>40</v>
      </c>
      <c r="B22" s="93">
        <f>B23*0.2</f>
        <v>80000</v>
      </c>
      <c r="C22"/>
      <c r="D22" t="s">
        <v>73</v>
      </c>
      <c r="G22" s="124" t="s">
        <v>49</v>
      </c>
      <c r="H22" s="125">
        <v>-800</v>
      </c>
      <c r="I22" s="133" t="s">
        <v>87</v>
      </c>
      <c r="J22" s="125" t="s">
        <v>11</v>
      </c>
    </row>
    <row r="23" spans="1:11" ht="14">
      <c r="A23" s="86" t="s">
        <v>43</v>
      </c>
      <c r="B23" s="87">
        <v>400000</v>
      </c>
      <c r="C23"/>
      <c r="D23"/>
      <c r="G23" s="124" t="s">
        <v>74</v>
      </c>
      <c r="H23" s="125">
        <v>-11</v>
      </c>
      <c r="I23" s="133" t="s">
        <v>8</v>
      </c>
      <c r="J23" s="125"/>
    </row>
    <row r="24" spans="1:11">
      <c r="A24" s="91" t="s">
        <v>46</v>
      </c>
      <c r="B24" s="94">
        <f>SUM(B21:B22)-B23</f>
        <v>-79171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102</v>
      </c>
      <c r="H25" s="125">
        <v>-10</v>
      </c>
      <c r="I25" s="133" t="s">
        <v>87</v>
      </c>
      <c r="J25" s="125"/>
    </row>
    <row r="26" spans="1:11">
      <c r="A26" s="92" t="s">
        <v>76</v>
      </c>
      <c r="B26" s="93">
        <f>B25+B24</f>
        <v>370829</v>
      </c>
      <c r="C26" s="32"/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G27" s="124" t="s">
        <v>56</v>
      </c>
      <c r="H27" s="125">
        <v>-120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60</v>
      </c>
      <c r="H31" s="125"/>
      <c r="I31" s="133" t="s">
        <v>8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82</v>
      </c>
      <c r="H32" s="125">
        <v>-211.5</v>
      </c>
      <c r="I32" s="133" t="s">
        <v>87</v>
      </c>
      <c r="J32" s="125"/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 t="s">
        <v>99</v>
      </c>
      <c r="H33" s="125"/>
      <c r="I33" s="133" t="s">
        <v>8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-114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85</v>
      </c>
      <c r="H35" s="125">
        <v>-50</v>
      </c>
      <c r="I35" s="133" t="s">
        <v>87</v>
      </c>
      <c r="J35" s="17" t="s">
        <v>11</v>
      </c>
    </row>
    <row r="36" spans="1:10">
      <c r="A36" s="31"/>
      <c r="C36" s="32"/>
      <c r="F36" s="30"/>
      <c r="G36" s="17" t="s">
        <v>103</v>
      </c>
      <c r="H36" s="125">
        <v>-65</v>
      </c>
      <c r="I36" s="133" t="s">
        <v>87</v>
      </c>
      <c r="J36" s="17"/>
    </row>
    <row r="37" spans="1:10">
      <c r="A37" s="31"/>
      <c r="C37" s="32"/>
      <c r="F37" s="30"/>
      <c r="G37" s="17"/>
      <c r="H37" s="125"/>
      <c r="I37" s="133" t="s">
        <v>8</v>
      </c>
      <c r="J37" s="17"/>
    </row>
    <row r="38" spans="1:10">
      <c r="A38" s="31"/>
      <c r="C38" s="32"/>
      <c r="F38" s="30"/>
    </row>
    <row r="39" spans="1:10">
      <c r="A39" s="31"/>
      <c r="C39" s="32"/>
      <c r="F39" s="30"/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7000000}"/>
  <conditionalFormatting sqref="G2:H11 J2:J31 G12 G13:H31 G33:H34">
    <cfRule type="expression" dxfId="100" priority="6">
      <formula>#REF!</formula>
    </cfRule>
  </conditionalFormatting>
  <conditionalFormatting sqref="H35:H37">
    <cfRule type="expression" dxfId="99" priority="5">
      <formula>#REF!</formula>
    </cfRule>
  </conditionalFormatting>
  <conditionalFormatting sqref="I2:I37">
    <cfRule type="containsText" dxfId="98" priority="1" operator="containsText" text="No">
      <formula>NOT(ISERROR(SEARCH("No",I2)))</formula>
    </cfRule>
    <cfRule type="containsText" dxfId="97" priority="2" operator="containsText" text="yes">
      <formula>NOT(ISERROR(SEARCH("yes",I2)))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96" priority="4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{7947389F-353C-4091-B717-F5146760B842}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47389F-353C-4091-B717-F5146760B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S46"/>
  <sheetViews>
    <sheetView zoomScale="220" zoomScaleNormal="220" workbookViewId="0">
      <selection activeCell="E13" sqref="E13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5196.6099999999997</v>
      </c>
      <c r="C2" s="3"/>
      <c r="D2" s="7" t="s">
        <v>1</v>
      </c>
      <c r="E2" s="4">
        <v>110</v>
      </c>
      <c r="G2" s="124" t="s">
        <v>7</v>
      </c>
      <c r="H2" s="125">
        <v>-897</v>
      </c>
      <c r="I2" s="133" t="s">
        <v>87</v>
      </c>
      <c r="J2" s="125"/>
    </row>
    <row r="3" spans="1:10">
      <c r="A3" s="100" t="s">
        <v>9</v>
      </c>
      <c r="B3" s="192">
        <f>SUMIF(I2:I28,"Yes*",H2:H28)</f>
        <v>-4616.97</v>
      </c>
      <c r="C3" s="3"/>
      <c r="D3" s="6" t="s">
        <v>111</v>
      </c>
      <c r="E3" s="5"/>
      <c r="G3" s="124" t="s">
        <v>10</v>
      </c>
      <c r="H3" s="125">
        <v>-244.8</v>
      </c>
      <c r="I3" s="133" t="s">
        <v>87</v>
      </c>
      <c r="J3" s="125" t="s">
        <v>11</v>
      </c>
    </row>
    <row r="4" spans="1:10">
      <c r="A4" s="118" t="s">
        <v>12</v>
      </c>
      <c r="B4" s="119">
        <v>96.44</v>
      </c>
      <c r="C4" s="3"/>
      <c r="D4" s="24"/>
      <c r="E4" s="25"/>
      <c r="F4" s="9"/>
      <c r="G4" s="124" t="s">
        <v>14</v>
      </c>
      <c r="H4" s="125">
        <v>-33</v>
      </c>
      <c r="I4" s="133" t="s">
        <v>87</v>
      </c>
      <c r="J4" s="125"/>
    </row>
    <row r="5" spans="1:10">
      <c r="A5" s="100" t="s">
        <v>15</v>
      </c>
      <c r="B5" s="193">
        <f>SUMIF(I2:I37,"No",H2:H37)</f>
        <v>-94</v>
      </c>
      <c r="C5" s="3"/>
      <c r="D5" s="24"/>
      <c r="E5" s="25"/>
      <c r="G5" s="124" t="s">
        <v>17</v>
      </c>
      <c r="H5" s="125">
        <v>-39</v>
      </c>
      <c r="I5" s="133" t="s">
        <v>87</v>
      </c>
      <c r="J5" s="125"/>
    </row>
    <row r="6" spans="1:10">
      <c r="A6" s="120" t="s">
        <v>18</v>
      </c>
      <c r="B6" s="121">
        <f>B5+B4</f>
        <v>2.4399999999999977</v>
      </c>
      <c r="C6" s="3" t="s">
        <v>19</v>
      </c>
      <c r="D6" s="24" t="s">
        <v>20</v>
      </c>
      <c r="E6" s="25">
        <v>380</v>
      </c>
      <c r="G6" s="124" t="s">
        <v>21</v>
      </c>
      <c r="H6" s="125">
        <v>-13.2</v>
      </c>
      <c r="I6" s="133" t="s">
        <v>87</v>
      </c>
      <c r="J6" s="125"/>
    </row>
    <row r="7" spans="1:10">
      <c r="A7" s="122" t="s">
        <v>22</v>
      </c>
      <c r="B7" s="194">
        <f>SUMIF(J2:J32,"f",H2:H32)</f>
        <v>-2211.25</v>
      </c>
      <c r="C7" s="30"/>
      <c r="D7" s="24" t="s">
        <v>104</v>
      </c>
      <c r="E7" s="25"/>
      <c r="G7" s="124" t="s">
        <v>24</v>
      </c>
      <c r="H7" s="125">
        <v>-118</v>
      </c>
      <c r="I7" s="133" t="s">
        <v>87</v>
      </c>
      <c r="J7" s="125"/>
    </row>
    <row r="8" spans="1:10">
      <c r="A8" s="31"/>
      <c r="C8" s="30"/>
      <c r="D8" s="24" t="s">
        <v>107</v>
      </c>
      <c r="E8" s="25"/>
      <c r="G8" s="124" t="s">
        <v>25</v>
      </c>
      <c r="H8" s="125">
        <v>-40</v>
      </c>
      <c r="I8" s="133" t="s">
        <v>87</v>
      </c>
      <c r="J8" s="125"/>
    </row>
    <row r="9" spans="1:10" ht="15" thickBot="1">
      <c r="A9" s="31"/>
      <c r="B9" s="111"/>
      <c r="C9"/>
      <c r="D9" s="24" t="s">
        <v>95</v>
      </c>
      <c r="E9" s="25"/>
      <c r="G9" s="124" t="s">
        <v>27</v>
      </c>
      <c r="H9" s="125">
        <v>-16.989999999999998</v>
      </c>
      <c r="I9" s="133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490</v>
      </c>
      <c r="G10" s="124" t="s">
        <v>100</v>
      </c>
      <c r="H10" s="125"/>
      <c r="I10" s="133" t="s">
        <v>8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33" t="s">
        <v>87</v>
      </c>
      <c r="J11" s="125"/>
    </row>
    <row r="12" spans="1:10" ht="15" thickBot="1">
      <c r="A12" s="115"/>
      <c r="B12" s="116"/>
      <c r="C12"/>
      <c r="D12" s="108" t="s">
        <v>112</v>
      </c>
      <c r="E12" s="109">
        <v>1348.47</v>
      </c>
      <c r="G12" s="124" t="s">
        <v>32</v>
      </c>
      <c r="H12" s="126"/>
      <c r="I12" s="133" t="s">
        <v>8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33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33" t="s">
        <v>87</v>
      </c>
      <c r="J14" s="125"/>
    </row>
    <row r="15" spans="1:10">
      <c r="A15" s="31"/>
      <c r="B15" s="113">
        <v>891.38</v>
      </c>
      <c r="C15"/>
      <c r="D15"/>
      <c r="G15" s="124"/>
      <c r="H15" s="125"/>
      <c r="I15" s="133" t="s">
        <v>8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33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-4.49</v>
      </c>
      <c r="I17" s="133" t="s">
        <v>87</v>
      </c>
      <c r="J17" s="125"/>
    </row>
    <row r="18" spans="1:11" ht="14">
      <c r="A18" s="88" t="s">
        <v>7</v>
      </c>
      <c r="B18"/>
      <c r="C18"/>
      <c r="D18"/>
      <c r="G18" s="124" t="s">
        <v>42</v>
      </c>
      <c r="H18" s="125">
        <v>-754</v>
      </c>
      <c r="I18" s="133" t="s">
        <v>87</v>
      </c>
      <c r="J18" s="125" t="s">
        <v>11</v>
      </c>
    </row>
    <row r="19" spans="1:11" ht="14">
      <c r="A19" s="86" t="s">
        <v>35</v>
      </c>
      <c r="B19" s="87">
        <v>157869</v>
      </c>
      <c r="C19"/>
      <c r="D19"/>
      <c r="G19" s="124" t="s">
        <v>68</v>
      </c>
      <c r="H19" s="125">
        <v>-800</v>
      </c>
      <c r="I19" s="133" t="s">
        <v>87</v>
      </c>
      <c r="J19" s="125" t="s">
        <v>11</v>
      </c>
    </row>
    <row r="20" spans="1:11" ht="14">
      <c r="A20" s="86" t="s">
        <v>37</v>
      </c>
      <c r="B20" s="87">
        <v>82960</v>
      </c>
      <c r="C20"/>
      <c r="D20" t="s">
        <v>69</v>
      </c>
      <c r="G20" s="124" t="s">
        <v>109</v>
      </c>
      <c r="H20" s="125">
        <v>-17.7</v>
      </c>
      <c r="I20" s="133" t="s">
        <v>87</v>
      </c>
      <c r="J20" s="125" t="s">
        <v>11</v>
      </c>
    </row>
    <row r="21" spans="1:11" ht="14">
      <c r="A21" s="89" t="s">
        <v>38</v>
      </c>
      <c r="B21" s="90">
        <f>SUM(B19:B20)</f>
        <v>240829</v>
      </c>
      <c r="C21"/>
      <c r="D21" t="s">
        <v>71</v>
      </c>
      <c r="G21" s="124" t="s">
        <v>113</v>
      </c>
      <c r="H21" s="125">
        <v>-200</v>
      </c>
      <c r="I21" s="133" t="s">
        <v>87</v>
      </c>
      <c r="J21" s="125"/>
    </row>
    <row r="22" spans="1:11">
      <c r="A22" s="92" t="s">
        <v>40</v>
      </c>
      <c r="B22" s="93">
        <f>B23*0.2</f>
        <v>80000</v>
      </c>
      <c r="C22"/>
      <c r="D22" t="s">
        <v>73</v>
      </c>
      <c r="G22" s="124" t="s">
        <v>49</v>
      </c>
      <c r="H22" s="125">
        <v>-1000</v>
      </c>
      <c r="I22" s="133" t="s">
        <v>87</v>
      </c>
      <c r="J22" s="125"/>
    </row>
    <row r="23" spans="1:11" ht="14">
      <c r="A23" s="86" t="s">
        <v>43</v>
      </c>
      <c r="B23" s="87">
        <v>400000</v>
      </c>
      <c r="C23"/>
      <c r="D23"/>
      <c r="G23" s="124" t="s">
        <v>74</v>
      </c>
      <c r="H23" s="125">
        <v>-11</v>
      </c>
      <c r="I23" s="133" t="s">
        <v>8</v>
      </c>
      <c r="J23" s="125" t="s">
        <v>11</v>
      </c>
    </row>
    <row r="24" spans="1:11">
      <c r="A24" s="91" t="s">
        <v>46</v>
      </c>
      <c r="B24" s="94">
        <f>SUM(B21:B22)-B23</f>
        <v>-79171</v>
      </c>
      <c r="C24" s="32"/>
      <c r="G24" s="124" t="s">
        <v>52</v>
      </c>
      <c r="H24" s="125">
        <v>-7.6</v>
      </c>
      <c r="I24" s="133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102</v>
      </c>
      <c r="H25" s="125">
        <v>-50</v>
      </c>
      <c r="I25" s="133" t="s">
        <v>87</v>
      </c>
      <c r="J25" s="125"/>
    </row>
    <row r="26" spans="1:11">
      <c r="A26" s="92" t="s">
        <v>76</v>
      </c>
      <c r="B26" s="93">
        <f>B25+B24</f>
        <v>370829</v>
      </c>
      <c r="C26" s="32"/>
      <c r="G26" s="124" t="s">
        <v>55</v>
      </c>
      <c r="H26" s="125">
        <v>-34</v>
      </c>
      <c r="I26" s="133" t="s">
        <v>87</v>
      </c>
      <c r="J26" s="125"/>
    </row>
    <row r="27" spans="1:11">
      <c r="A27" s="31"/>
      <c r="C27" s="32"/>
      <c r="G27" s="124" t="s">
        <v>56</v>
      </c>
      <c r="H27" s="125">
        <v>-80</v>
      </c>
      <c r="I27" s="133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78</v>
      </c>
      <c r="H28" s="125">
        <v>-18</v>
      </c>
      <c r="I28" s="133" t="s">
        <v>8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33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33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60</v>
      </c>
      <c r="H31" s="125"/>
      <c r="I31" s="133" t="s">
        <v>8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82</v>
      </c>
      <c r="H32" s="125">
        <v>-270.75</v>
      </c>
      <c r="I32" s="133" t="s">
        <v>87</v>
      </c>
      <c r="J32" s="125" t="s">
        <v>11</v>
      </c>
    </row>
    <row r="33" spans="1:10">
      <c r="A33" s="86" t="s">
        <v>83</v>
      </c>
      <c r="B33" s="87">
        <v>400000</v>
      </c>
      <c r="C33" s="32"/>
      <c r="D33" s="3">
        <v>558.20000000000005</v>
      </c>
      <c r="F33" s="30"/>
      <c r="G33" s="124" t="s">
        <v>114</v>
      </c>
      <c r="H33" s="125">
        <v>-6.86</v>
      </c>
      <c r="I33" s="133" t="s">
        <v>87</v>
      </c>
      <c r="J33" s="17"/>
    </row>
    <row r="34" spans="1:10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24" t="s">
        <v>84</v>
      </c>
      <c r="H34" s="125">
        <v>-114</v>
      </c>
      <c r="I34" s="133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7" t="s">
        <v>85</v>
      </c>
      <c r="H35" s="125">
        <v>-50</v>
      </c>
      <c r="I35" s="133" t="s">
        <v>87</v>
      </c>
      <c r="J35" s="17" t="s">
        <v>11</v>
      </c>
    </row>
    <row r="36" spans="1:10">
      <c r="A36" s="31"/>
      <c r="C36" s="32"/>
      <c r="F36" s="30"/>
      <c r="G36" s="17" t="s">
        <v>103</v>
      </c>
      <c r="H36" s="125">
        <v>-65</v>
      </c>
      <c r="I36" s="133" t="s">
        <v>8</v>
      </c>
      <c r="J36" s="17"/>
    </row>
    <row r="37" spans="1:10">
      <c r="A37" s="31"/>
      <c r="C37" s="32"/>
      <c r="F37" s="30"/>
      <c r="G37" s="17"/>
      <c r="H37" s="125"/>
      <c r="I37" s="133" t="s">
        <v>8</v>
      </c>
      <c r="J37" s="17"/>
    </row>
    <row r="38" spans="1:10">
      <c r="A38" s="31"/>
      <c r="C38" s="32"/>
      <c r="F38" s="30"/>
    </row>
    <row r="39" spans="1:10">
      <c r="A39" s="31"/>
      <c r="C39" s="32"/>
      <c r="F39" s="30"/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8000000}"/>
  <conditionalFormatting sqref="G2:H11 J2:J31 G12 G13:H31 G33:H34">
    <cfRule type="expression" dxfId="95" priority="6">
      <formula>#REF!</formula>
    </cfRule>
  </conditionalFormatting>
  <conditionalFormatting sqref="H35:H37">
    <cfRule type="expression" dxfId="94" priority="5">
      <formula>#REF!</formula>
    </cfRule>
  </conditionalFormatting>
  <conditionalFormatting sqref="I2:I37">
    <cfRule type="containsText" dxfId="93" priority="1" operator="containsText" text="No">
      <formula>NOT(ISERROR(SEARCH("No",I2)))</formula>
    </cfRule>
    <cfRule type="containsText" dxfId="92" priority="2" operator="containsText" text="yes">
      <formula>NOT(ISERROR(SEARCH("yes",I2)))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91" priority="4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{878C4481-F88E-4D55-B910-038AEAED1473}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8C4481-F88E-4D55-B910-038AEAED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S46"/>
  <sheetViews>
    <sheetView zoomScale="205" zoomScaleNormal="205" workbookViewId="0">
      <selection activeCell="I29" sqref="I29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134" customWidth="1"/>
    <col min="9" max="9" width="10.08203125" style="3" customWidth="1"/>
    <col min="10" max="10" width="2.58203125" style="3" hidden="1" customWidth="1"/>
    <col min="11" max="249" width="0" style="3" hidden="1" customWidth="1"/>
    <col min="250" max="253" width="8.58203125" style="3" hidden="1" customWidth="1"/>
    <col min="254" max="16384" width="0" style="3" hidden="1"/>
  </cols>
  <sheetData>
    <row r="1" spans="1:9" ht="15" thickBot="1">
      <c r="A1" s="117" t="s">
        <v>0</v>
      </c>
      <c r="B1" s="31"/>
      <c r="C1" s="3"/>
      <c r="D1" s="106" t="s">
        <v>1</v>
      </c>
      <c r="E1" s="31"/>
      <c r="G1" s="136" t="s">
        <v>2</v>
      </c>
      <c r="H1" s="137" t="s">
        <v>3</v>
      </c>
      <c r="I1" s="138" t="s">
        <v>4</v>
      </c>
    </row>
    <row r="2" spans="1:9">
      <c r="A2" s="118" t="s">
        <v>6</v>
      </c>
      <c r="B2" s="119">
        <v>4850.83</v>
      </c>
      <c r="C2" s="3"/>
      <c r="D2" s="7" t="s">
        <v>1</v>
      </c>
      <c r="E2" s="4">
        <v>135</v>
      </c>
      <c r="G2" s="139" t="s">
        <v>7</v>
      </c>
      <c r="H2" s="132">
        <v>-897</v>
      </c>
      <c r="I2" s="140" t="s">
        <v>87</v>
      </c>
    </row>
    <row r="3" spans="1:9">
      <c r="A3" s="100" t="s">
        <v>9</v>
      </c>
      <c r="B3" s="192">
        <f>SUMIF(I2:I28,"Yes*",H2:H28)</f>
        <v>-4202.0199999999986</v>
      </c>
      <c r="C3" s="3"/>
      <c r="D3" s="6" t="s">
        <v>111</v>
      </c>
      <c r="E3" s="5">
        <v>264.77</v>
      </c>
      <c r="G3" s="139" t="s">
        <v>10</v>
      </c>
      <c r="H3" s="132">
        <v>-244.8</v>
      </c>
      <c r="I3" s="140" t="s">
        <v>87</v>
      </c>
    </row>
    <row r="4" spans="1:9">
      <c r="A4" s="118" t="s">
        <v>12</v>
      </c>
      <c r="B4" s="119">
        <v>21.46</v>
      </c>
      <c r="C4" s="3"/>
      <c r="D4" s="24"/>
      <c r="E4" s="25"/>
      <c r="F4" s="9"/>
      <c r="G4" s="139" t="s">
        <v>14</v>
      </c>
      <c r="H4" s="132">
        <v>-33</v>
      </c>
      <c r="I4" s="140" t="s">
        <v>87</v>
      </c>
    </row>
    <row r="5" spans="1:9">
      <c r="A5" s="100" t="s">
        <v>15</v>
      </c>
      <c r="B5" s="193">
        <f>SUMIF(I2:I37,"No",H2:H37)</f>
        <v>0</v>
      </c>
      <c r="C5" s="3"/>
      <c r="D5" s="24"/>
      <c r="E5" s="25"/>
      <c r="G5" s="139" t="s">
        <v>17</v>
      </c>
      <c r="H5" s="132">
        <v>-39</v>
      </c>
      <c r="I5" s="140" t="s">
        <v>87</v>
      </c>
    </row>
    <row r="6" spans="1:9">
      <c r="A6" s="120" t="s">
        <v>18</v>
      </c>
      <c r="B6" s="121">
        <f>B5+B4</f>
        <v>21.46</v>
      </c>
      <c r="C6" s="3" t="s">
        <v>19</v>
      </c>
      <c r="D6" s="24" t="s">
        <v>20</v>
      </c>
      <c r="E6" s="25">
        <v>340</v>
      </c>
      <c r="G6" s="139" t="s">
        <v>21</v>
      </c>
      <c r="H6" s="132">
        <v>-13.25</v>
      </c>
      <c r="I6" s="140" t="s">
        <v>87</v>
      </c>
    </row>
    <row r="7" spans="1:9">
      <c r="A7" s="31"/>
      <c r="C7" s="30"/>
      <c r="D7" s="24" t="s">
        <v>104</v>
      </c>
      <c r="E7" s="25"/>
      <c r="G7" s="139" t="s">
        <v>24</v>
      </c>
      <c r="H7" s="132">
        <v>-118</v>
      </c>
      <c r="I7" s="140" t="s">
        <v>87</v>
      </c>
    </row>
    <row r="8" spans="1:9">
      <c r="A8" s="31"/>
      <c r="C8" s="30"/>
      <c r="D8" s="24" t="s">
        <v>107</v>
      </c>
      <c r="E8" s="25"/>
      <c r="G8" s="139" t="s">
        <v>25</v>
      </c>
      <c r="H8" s="132">
        <v>-40</v>
      </c>
      <c r="I8" s="140" t="s">
        <v>87</v>
      </c>
    </row>
    <row r="9" spans="1:9" ht="15" thickBot="1">
      <c r="A9" s="31"/>
      <c r="B9" s="145">
        <v>4867.22</v>
      </c>
      <c r="C9"/>
      <c r="D9" s="24"/>
      <c r="E9" s="25"/>
      <c r="G9" s="139" t="s">
        <v>27</v>
      </c>
      <c r="H9" s="132">
        <v>-16.989999999999998</v>
      </c>
      <c r="I9" s="140" t="s">
        <v>87</v>
      </c>
    </row>
    <row r="10" spans="1:9" ht="15" thickBot="1">
      <c r="A10"/>
      <c r="B10" s="84">
        <v>4745.42</v>
      </c>
      <c r="C10"/>
      <c r="D10" s="26" t="s">
        <v>28</v>
      </c>
      <c r="E10" s="27">
        <f>SUM(E2:E9)</f>
        <v>739.77</v>
      </c>
      <c r="G10" s="139" t="s">
        <v>100</v>
      </c>
      <c r="H10" s="132">
        <v>-500</v>
      </c>
      <c r="I10" s="140" t="s">
        <v>87</v>
      </c>
    </row>
    <row r="11" spans="1:9" thickBot="1">
      <c r="A11"/>
      <c r="B11" s="84">
        <f>B10-B9</f>
        <v>-121.80000000000018</v>
      </c>
      <c r="C11"/>
      <c r="G11" s="139" t="s">
        <v>30</v>
      </c>
      <c r="H11" s="132">
        <v>-10.99</v>
      </c>
      <c r="I11" s="140" t="s">
        <v>87</v>
      </c>
    </row>
    <row r="12" spans="1:9" ht="15" thickBot="1">
      <c r="A12" s="115"/>
      <c r="B12" s="116"/>
      <c r="C12"/>
      <c r="D12" s="108"/>
      <c r="E12" s="109"/>
      <c r="G12" s="139" t="s">
        <v>32</v>
      </c>
      <c r="H12" s="135">
        <v>-60</v>
      </c>
      <c r="I12" s="140" t="s">
        <v>87</v>
      </c>
    </row>
    <row r="13" spans="1:9" ht="14">
      <c r="A13"/>
      <c r="B13"/>
      <c r="C13"/>
      <c r="D13"/>
      <c r="G13" s="139" t="s">
        <v>33</v>
      </c>
      <c r="H13" s="132">
        <v>-214</v>
      </c>
      <c r="I13" s="140" t="s">
        <v>87</v>
      </c>
    </row>
    <row r="14" spans="1:9">
      <c r="A14" s="31"/>
      <c r="B14" s="113">
        <v>806.34</v>
      </c>
      <c r="C14"/>
      <c r="D14" s="77"/>
      <c r="G14" s="139" t="s">
        <v>34</v>
      </c>
      <c r="H14" s="132">
        <v>-14</v>
      </c>
      <c r="I14" s="140" t="s">
        <v>87</v>
      </c>
    </row>
    <row r="15" spans="1:9">
      <c r="A15" s="31"/>
      <c r="B15" s="113">
        <v>891.38</v>
      </c>
      <c r="C15"/>
      <c r="D15"/>
      <c r="G15" s="139"/>
      <c r="H15" s="132"/>
      <c r="I15" s="140" t="s">
        <v>8</v>
      </c>
    </row>
    <row r="16" spans="1:9">
      <c r="A16" s="31"/>
      <c r="B16" s="113">
        <f>B15+B14</f>
        <v>1697.72</v>
      </c>
      <c r="C16"/>
      <c r="D16" s="101"/>
      <c r="G16" s="139" t="s">
        <v>34</v>
      </c>
      <c r="H16" s="132">
        <v>-29.2</v>
      </c>
      <c r="I16" s="140" t="s">
        <v>87</v>
      </c>
    </row>
    <row r="17" spans="1:10">
      <c r="A17" s="31"/>
      <c r="B17" s="113"/>
      <c r="C17"/>
      <c r="D17" t="s">
        <v>67</v>
      </c>
      <c r="G17" s="139" t="s">
        <v>39</v>
      </c>
      <c r="H17" s="132">
        <v>-4.49</v>
      </c>
      <c r="I17" s="140" t="s">
        <v>87</v>
      </c>
    </row>
    <row r="18" spans="1:10" ht="14">
      <c r="A18" s="88" t="s">
        <v>7</v>
      </c>
      <c r="B18"/>
      <c r="C18"/>
      <c r="D18"/>
      <c r="G18" s="139" t="s">
        <v>42</v>
      </c>
      <c r="H18" s="132">
        <v>-950</v>
      </c>
      <c r="I18" s="140" t="s">
        <v>87</v>
      </c>
    </row>
    <row r="19" spans="1:10" ht="14">
      <c r="A19" s="86" t="s">
        <v>35</v>
      </c>
      <c r="B19" s="87">
        <v>157869</v>
      </c>
      <c r="C19"/>
      <c r="D19"/>
      <c r="G19" s="139" t="s">
        <v>115</v>
      </c>
      <c r="H19" s="132">
        <v>-50</v>
      </c>
      <c r="I19" s="140" t="s">
        <v>87</v>
      </c>
    </row>
    <row r="20" spans="1:10" ht="14">
      <c r="A20" s="86" t="s">
        <v>37</v>
      </c>
      <c r="B20" s="87">
        <v>82960</v>
      </c>
      <c r="C20"/>
      <c r="D20" t="s">
        <v>69</v>
      </c>
      <c r="G20" s="139" t="s">
        <v>47</v>
      </c>
      <c r="H20" s="132">
        <v>-17.7</v>
      </c>
      <c r="I20" s="140" t="s">
        <v>87</v>
      </c>
    </row>
    <row r="21" spans="1:10" ht="14">
      <c r="A21" s="89" t="s">
        <v>38</v>
      </c>
      <c r="B21" s="90">
        <f>SUM(B19:B20)</f>
        <v>240829</v>
      </c>
      <c r="C21"/>
      <c r="D21" t="s">
        <v>71</v>
      </c>
      <c r="G21" s="139" t="s">
        <v>116</v>
      </c>
      <c r="H21" s="132"/>
      <c r="I21" s="140" t="s">
        <v>8</v>
      </c>
    </row>
    <row r="22" spans="1:10">
      <c r="A22" s="92" t="s">
        <v>40</v>
      </c>
      <c r="B22" s="93">
        <f>B23*0.2</f>
        <v>80000</v>
      </c>
      <c r="C22"/>
      <c r="D22" t="s">
        <v>73</v>
      </c>
      <c r="G22" s="139" t="s">
        <v>49</v>
      </c>
      <c r="H22" s="132">
        <v>-800</v>
      </c>
      <c r="I22" s="140" t="s">
        <v>87</v>
      </c>
    </row>
    <row r="23" spans="1:10" ht="14">
      <c r="A23" s="86" t="s">
        <v>43</v>
      </c>
      <c r="B23" s="87">
        <v>400000</v>
      </c>
      <c r="C23"/>
      <c r="D23"/>
      <c r="G23" s="139" t="s">
        <v>117</v>
      </c>
      <c r="H23" s="132"/>
      <c r="I23" s="140" t="s">
        <v>8</v>
      </c>
    </row>
    <row r="24" spans="1:10">
      <c r="A24" s="91" t="s">
        <v>46</v>
      </c>
      <c r="B24" s="94">
        <f>SUM(B21:B22)-B23</f>
        <v>-79171</v>
      </c>
      <c r="C24" s="32"/>
      <c r="G24" s="139" t="s">
        <v>52</v>
      </c>
      <c r="H24" s="132">
        <v>-7.6</v>
      </c>
      <c r="I24" s="140" t="s">
        <v>87</v>
      </c>
    </row>
    <row r="25" spans="1:10">
      <c r="A25" s="92" t="s">
        <v>75</v>
      </c>
      <c r="B25" s="93">
        <v>450000</v>
      </c>
      <c r="C25" s="32"/>
      <c r="G25" s="139" t="s">
        <v>102</v>
      </c>
      <c r="H25" s="132">
        <v>-10</v>
      </c>
      <c r="I25" s="140" t="s">
        <v>87</v>
      </c>
    </row>
    <row r="26" spans="1:10">
      <c r="A26" s="92" t="s">
        <v>76</v>
      </c>
      <c r="B26" s="93">
        <f>B25+B24</f>
        <v>370829</v>
      </c>
      <c r="C26" s="32"/>
      <c r="G26" s="139" t="s">
        <v>55</v>
      </c>
      <c r="H26" s="132">
        <v>-34</v>
      </c>
      <c r="I26" s="140" t="s">
        <v>87</v>
      </c>
    </row>
    <row r="27" spans="1:10">
      <c r="A27" s="31"/>
      <c r="C27" s="32"/>
      <c r="G27" s="139" t="s">
        <v>56</v>
      </c>
      <c r="H27" s="132">
        <v>-80</v>
      </c>
      <c r="I27" s="140" t="s">
        <v>87</v>
      </c>
    </row>
    <row r="28" spans="1:10">
      <c r="A28" s="88" t="s">
        <v>77</v>
      </c>
      <c r="B28"/>
      <c r="C28" s="32"/>
      <c r="G28" s="139" t="s">
        <v>78</v>
      </c>
      <c r="H28" s="132">
        <v>-18</v>
      </c>
      <c r="I28" s="140" t="s">
        <v>87</v>
      </c>
      <c r="J28" s="15"/>
    </row>
    <row r="29" spans="1:10">
      <c r="A29" s="86" t="s">
        <v>35</v>
      </c>
      <c r="B29" s="87">
        <v>158345</v>
      </c>
      <c r="C29" s="32"/>
      <c r="G29" s="139" t="s">
        <v>57</v>
      </c>
      <c r="H29" s="132">
        <v>-33</v>
      </c>
      <c r="I29" s="140" t="s">
        <v>87</v>
      </c>
    </row>
    <row r="30" spans="1:10">
      <c r="A30" s="86" t="s">
        <v>37</v>
      </c>
      <c r="B30" s="87">
        <v>83156</v>
      </c>
      <c r="C30" s="32"/>
      <c r="G30" s="139" t="s">
        <v>79</v>
      </c>
      <c r="H30" s="132">
        <v>-12</v>
      </c>
      <c r="I30" s="140" t="s">
        <v>87</v>
      </c>
    </row>
    <row r="31" spans="1:10">
      <c r="A31" s="89" t="s">
        <v>38</v>
      </c>
      <c r="B31" s="90">
        <f>SUM(B29:B30)</f>
        <v>241501</v>
      </c>
      <c r="C31" s="32"/>
      <c r="F31" s="30"/>
      <c r="G31" s="139" t="s">
        <v>60</v>
      </c>
      <c r="H31" s="132">
        <v>-100</v>
      </c>
      <c r="I31" s="140" t="s">
        <v>87</v>
      </c>
    </row>
    <row r="32" spans="1:10">
      <c r="A32" s="92" t="s">
        <v>40</v>
      </c>
      <c r="B32" s="93">
        <f>B33*0.2</f>
        <v>80000</v>
      </c>
      <c r="C32" s="32" t="s">
        <v>81</v>
      </c>
      <c r="F32" s="30"/>
      <c r="G32" s="139" t="s">
        <v>82</v>
      </c>
      <c r="H32" s="132">
        <v>-78</v>
      </c>
      <c r="I32" s="140" t="s">
        <v>87</v>
      </c>
    </row>
    <row r="33" spans="1:9">
      <c r="A33" s="86" t="s">
        <v>83</v>
      </c>
      <c r="B33" s="87">
        <v>400000</v>
      </c>
      <c r="C33" s="32"/>
      <c r="D33" s="3">
        <v>558.20000000000005</v>
      </c>
      <c r="F33" s="30"/>
      <c r="G33" s="139" t="s">
        <v>114</v>
      </c>
      <c r="H33" s="132">
        <v>-6.86</v>
      </c>
      <c r="I33" s="140" t="s">
        <v>87</v>
      </c>
    </row>
    <row r="34" spans="1:9">
      <c r="A34" s="91" t="s">
        <v>46</v>
      </c>
      <c r="B34" s="94">
        <f>SUM(B31:B32)-B33</f>
        <v>-78499</v>
      </c>
      <c r="C34" s="32"/>
      <c r="D34" s="3">
        <v>484.16</v>
      </c>
      <c r="F34" s="30"/>
      <c r="G34" s="139" t="s">
        <v>84</v>
      </c>
      <c r="H34" s="132">
        <v>-114</v>
      </c>
      <c r="I34" s="140" t="s">
        <v>87</v>
      </c>
    </row>
    <row r="35" spans="1:9">
      <c r="A35" s="92" t="s">
        <v>76</v>
      </c>
      <c r="B35" s="93">
        <f>B32+B31</f>
        <v>321501</v>
      </c>
      <c r="C35" s="32"/>
      <c r="D35" s="3">
        <f>D34-D33</f>
        <v>-74.04000000000002</v>
      </c>
      <c r="F35" s="30"/>
      <c r="G35" s="141" t="s">
        <v>85</v>
      </c>
      <c r="H35" s="132">
        <v>-50</v>
      </c>
      <c r="I35" s="140" t="s">
        <v>87</v>
      </c>
    </row>
    <row r="36" spans="1:9">
      <c r="A36" s="31"/>
      <c r="C36" s="32"/>
      <c r="F36" s="30"/>
      <c r="G36" s="141" t="s">
        <v>118</v>
      </c>
      <c r="H36" s="132">
        <v>-45</v>
      </c>
      <c r="I36" s="140" t="s">
        <v>87</v>
      </c>
    </row>
    <row r="37" spans="1:9" ht="15" thickBot="1">
      <c r="A37" s="31"/>
      <c r="C37" s="32"/>
      <c r="F37" s="30"/>
      <c r="G37" s="142" t="s">
        <v>119</v>
      </c>
      <c r="H37" s="143">
        <v>-280</v>
      </c>
      <c r="I37" s="144" t="s">
        <v>87</v>
      </c>
    </row>
    <row r="38" spans="1:9">
      <c r="A38" s="31"/>
      <c r="C38" s="32"/>
      <c r="F38" s="30"/>
    </row>
    <row r="39" spans="1:9">
      <c r="A39" s="31"/>
      <c r="C39" s="32"/>
      <c r="F39" s="30"/>
    </row>
    <row r="40" spans="1:9">
      <c r="A40" s="31"/>
      <c r="C40" s="32"/>
      <c r="F40" s="30"/>
    </row>
    <row r="41" spans="1:9">
      <c r="A41" s="31"/>
      <c r="C41" s="32"/>
      <c r="F41" s="30"/>
    </row>
    <row r="42" spans="1:9">
      <c r="A42" s="31"/>
      <c r="C42" s="32"/>
      <c r="F42" s="30"/>
    </row>
    <row r="43" spans="1:9">
      <c r="A43" s="31"/>
      <c r="C43" s="32"/>
      <c r="F43" s="30"/>
    </row>
    <row r="44" spans="1:9">
      <c r="A44" s="31"/>
      <c r="C44" s="32"/>
      <c r="F44" s="30"/>
    </row>
    <row r="45" spans="1:9">
      <c r="A45" s="31"/>
      <c r="C45" s="32"/>
      <c r="F45" s="30"/>
    </row>
    <row r="46" spans="1:9">
      <c r="A46" s="31"/>
      <c r="C46" s="32"/>
      <c r="F46" s="30"/>
    </row>
  </sheetData>
  <autoFilter ref="G1:I32" xr:uid="{00000000-0009-0000-0000-000009000000}"/>
  <conditionalFormatting sqref="G2:I37">
    <cfRule type="containsText" dxfId="90" priority="1" operator="containsText" text="No">
      <formula>NOT(ISERROR(SEARCH("No",G2)))</formula>
    </cfRule>
    <cfRule type="containsText" dxfId="89" priority="2" operator="containsText" text="yes">
      <formula>NOT(ISERROR(SEARCH("yes",G2)))</formula>
    </cfRule>
  </conditionalFormatting>
  <conditionalFormatting sqref="H35:H37">
    <cfRule type="expression" dxfId="88" priority="4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S46"/>
  <sheetViews>
    <sheetView zoomScale="190" zoomScaleNormal="190" workbookViewId="0">
      <selection activeCell="D5" sqref="D5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4868.2299999999996</v>
      </c>
      <c r="C2" s="3"/>
      <c r="D2" s="7" t="s">
        <v>1</v>
      </c>
      <c r="E2" s="4">
        <v>140</v>
      </c>
      <c r="G2" s="124" t="s">
        <v>7</v>
      </c>
      <c r="H2" s="125">
        <v>-897</v>
      </c>
      <c r="I2" s="124" t="s">
        <v>87</v>
      </c>
      <c r="J2" s="125"/>
    </row>
    <row r="3" spans="1:10">
      <c r="A3" s="100" t="s">
        <v>9</v>
      </c>
      <c r="B3" s="192">
        <f>SUMIF(I2:I28,"Yes*",H2:H28)</f>
        <v>-4533.3100000000004</v>
      </c>
      <c r="C3" s="3"/>
      <c r="D3" s="6"/>
      <c r="E3" s="5"/>
      <c r="G3" s="124" t="s">
        <v>10</v>
      </c>
      <c r="H3" s="125">
        <v>-244.8</v>
      </c>
      <c r="I3" s="124" t="s">
        <v>87</v>
      </c>
      <c r="J3" s="125" t="s">
        <v>11</v>
      </c>
    </row>
    <row r="4" spans="1:10">
      <c r="A4" s="118" t="s">
        <v>12</v>
      </c>
      <c r="B4" s="119">
        <v>32.909999999999997</v>
      </c>
      <c r="C4" s="3"/>
      <c r="D4" s="24"/>
      <c r="E4" s="25"/>
      <c r="F4" s="9"/>
      <c r="G4" s="124" t="s">
        <v>14</v>
      </c>
      <c r="H4" s="125">
        <v>-33</v>
      </c>
      <c r="I4" s="124" t="s">
        <v>87</v>
      </c>
      <c r="J4" s="125"/>
    </row>
    <row r="5" spans="1:10">
      <c r="A5" s="100" t="s">
        <v>15</v>
      </c>
      <c r="B5" s="193">
        <f>SUMIF(I2:I37,"No",H2:H37)</f>
        <v>-16</v>
      </c>
      <c r="C5" s="3"/>
      <c r="D5" s="24"/>
      <c r="E5" s="25"/>
      <c r="G5" s="124" t="s">
        <v>17</v>
      </c>
      <c r="H5" s="125"/>
      <c r="I5" s="124" t="s">
        <v>8</v>
      </c>
      <c r="J5" s="125"/>
    </row>
    <row r="6" spans="1:10">
      <c r="A6" s="120" t="s">
        <v>18</v>
      </c>
      <c r="B6" s="121">
        <f>B5+B4</f>
        <v>16.909999999999997</v>
      </c>
      <c r="C6" s="3" t="s">
        <v>19</v>
      </c>
      <c r="D6" s="24" t="s">
        <v>20</v>
      </c>
      <c r="E6" s="25">
        <v>300</v>
      </c>
      <c r="G6" s="124" t="s">
        <v>21</v>
      </c>
      <c r="H6" s="125">
        <v>-13.2</v>
      </c>
      <c r="I6" s="124" t="s">
        <v>87</v>
      </c>
      <c r="J6" s="125"/>
    </row>
    <row r="7" spans="1:10">
      <c r="A7" s="122" t="s">
        <v>22</v>
      </c>
      <c r="B7" s="194">
        <f>SUMIF(J2:J32,"f",H2:H32)</f>
        <v>-1757.3</v>
      </c>
      <c r="C7" s="30"/>
      <c r="D7" s="24" t="s">
        <v>104</v>
      </c>
      <c r="E7" s="25"/>
      <c r="G7" s="124" t="s">
        <v>24</v>
      </c>
      <c r="H7" s="125">
        <v>-118</v>
      </c>
      <c r="I7" s="124" t="s">
        <v>87</v>
      </c>
      <c r="J7" s="125"/>
    </row>
    <row r="8" spans="1:10">
      <c r="A8" s="31"/>
      <c r="C8" s="30"/>
      <c r="D8" s="24"/>
      <c r="E8" s="25"/>
      <c r="G8" s="124" t="s">
        <v>25</v>
      </c>
      <c r="H8" s="125"/>
      <c r="I8" s="124" t="s">
        <v>8</v>
      </c>
      <c r="J8" s="125"/>
    </row>
    <row r="9" spans="1:10" ht="15" thickBot="1">
      <c r="A9" s="31"/>
      <c r="B9" s="111"/>
      <c r="C9"/>
      <c r="D9" s="24"/>
      <c r="E9" s="25"/>
      <c r="G9" s="124" t="s">
        <v>27</v>
      </c>
      <c r="H9" s="125">
        <v>-16.989999999999998</v>
      </c>
      <c r="I9" s="124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440</v>
      </c>
      <c r="G10" s="124" t="s">
        <v>100</v>
      </c>
      <c r="H10" s="125"/>
      <c r="I10" s="124" t="s">
        <v>8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24" t="s">
        <v>87</v>
      </c>
      <c r="J11" s="125"/>
    </row>
    <row r="12" spans="1:10" ht="15" thickBot="1">
      <c r="A12" s="115"/>
      <c r="B12" s="116"/>
      <c r="C12"/>
      <c r="D12" s="108"/>
      <c r="E12" s="109"/>
      <c r="G12" s="124" t="s">
        <v>32</v>
      </c>
      <c r="H12" s="126">
        <v>-37.53</v>
      </c>
      <c r="I12" s="124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24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24" t="s">
        <v>87</v>
      </c>
      <c r="J14" s="125"/>
    </row>
    <row r="15" spans="1:10">
      <c r="A15" s="31"/>
      <c r="B15" s="113">
        <v>891.38</v>
      </c>
      <c r="C15"/>
      <c r="D15"/>
      <c r="G15" s="124" t="s">
        <v>120</v>
      </c>
      <c r="H15" s="125">
        <v>-60</v>
      </c>
      <c r="I15" s="124" t="s">
        <v>87</v>
      </c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24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-4.5</v>
      </c>
      <c r="I17" s="124" t="s">
        <v>87</v>
      </c>
      <c r="J17" s="125"/>
    </row>
    <row r="18" spans="1:11" ht="14">
      <c r="A18" s="88" t="s">
        <v>7</v>
      </c>
      <c r="B18"/>
      <c r="C18"/>
      <c r="D18"/>
      <c r="G18" s="124" t="s">
        <v>42</v>
      </c>
      <c r="H18" s="125">
        <v>-832</v>
      </c>
      <c r="I18" s="124" t="s">
        <v>87</v>
      </c>
      <c r="J18" s="125" t="s">
        <v>11</v>
      </c>
    </row>
    <row r="19" spans="1:11" ht="14">
      <c r="A19" s="86" t="s">
        <v>35</v>
      </c>
      <c r="B19" s="87">
        <v>158345</v>
      </c>
      <c r="C19"/>
      <c r="D19"/>
      <c r="G19" s="124" t="s">
        <v>121</v>
      </c>
      <c r="H19" s="125">
        <v>-500</v>
      </c>
      <c r="I19" s="124" t="s">
        <v>87</v>
      </c>
      <c r="J19" s="125" t="s">
        <v>11</v>
      </c>
    </row>
    <row r="20" spans="1:11" ht="14">
      <c r="A20" s="86" t="s">
        <v>37</v>
      </c>
      <c r="B20" s="87">
        <v>83156</v>
      </c>
      <c r="C20"/>
      <c r="D20"/>
      <c r="G20" s="124" t="s">
        <v>47</v>
      </c>
      <c r="H20" s="125">
        <v>-17.5</v>
      </c>
      <c r="I20" s="124" t="s">
        <v>87</v>
      </c>
      <c r="J20" s="125" t="s">
        <v>11</v>
      </c>
    </row>
    <row r="21" spans="1:11" ht="14">
      <c r="A21" s="89" t="s">
        <v>38</v>
      </c>
      <c r="B21" s="90">
        <f>SUM(B19:B20)</f>
        <v>241501</v>
      </c>
      <c r="C21"/>
      <c r="D21"/>
      <c r="G21" s="124" t="s">
        <v>116</v>
      </c>
      <c r="H21" s="125">
        <v>-260</v>
      </c>
      <c r="I21" s="124" t="s">
        <v>87</v>
      </c>
      <c r="J21" s="125"/>
    </row>
    <row r="22" spans="1:11">
      <c r="A22" s="92" t="s">
        <v>40</v>
      </c>
      <c r="B22" s="93">
        <f>B23*0.2</f>
        <v>90000</v>
      </c>
      <c r="C22"/>
      <c r="D22" t="s">
        <v>73</v>
      </c>
      <c r="G22" s="124" t="s">
        <v>49</v>
      </c>
      <c r="H22" s="125">
        <v>-950</v>
      </c>
      <c r="I22" s="124" t="s">
        <v>87</v>
      </c>
      <c r="J22" s="125"/>
    </row>
    <row r="23" spans="1:11" ht="14">
      <c r="A23" s="86" t="s">
        <v>43</v>
      </c>
      <c r="B23" s="87">
        <v>450000</v>
      </c>
      <c r="C23"/>
      <c r="D23"/>
      <c r="G23" s="124" t="s">
        <v>117</v>
      </c>
      <c r="H23" s="125"/>
      <c r="I23" s="124" t="s">
        <v>8</v>
      </c>
      <c r="J23" s="125" t="s">
        <v>11</v>
      </c>
    </row>
    <row r="24" spans="1:11">
      <c r="A24" s="91" t="s">
        <v>46</v>
      </c>
      <c r="B24" s="94">
        <f>SUM(B21:B22)-B23</f>
        <v>-118499</v>
      </c>
      <c r="C24" s="32"/>
      <c r="G24" s="124" t="s">
        <v>52</v>
      </c>
      <c r="H24" s="125">
        <v>-7.6</v>
      </c>
      <c r="I24" s="124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102</v>
      </c>
      <c r="H25" s="125">
        <v>-10</v>
      </c>
      <c r="I25" s="124" t="s">
        <v>87</v>
      </c>
      <c r="J25" s="125"/>
    </row>
    <row r="26" spans="1:11">
      <c r="A26" s="92" t="s">
        <v>76</v>
      </c>
      <c r="B26" s="93">
        <f>B25+B24</f>
        <v>331501</v>
      </c>
      <c r="C26" s="32"/>
      <c r="G26" s="124" t="s">
        <v>55</v>
      </c>
      <c r="H26" s="125">
        <v>-34</v>
      </c>
      <c r="I26" s="124" t="s">
        <v>87</v>
      </c>
      <c r="J26" s="125"/>
    </row>
    <row r="27" spans="1:11">
      <c r="A27" s="31"/>
      <c r="C27" s="32"/>
      <c r="G27" s="124" t="s">
        <v>56</v>
      </c>
      <c r="H27" s="125">
        <v>-130</v>
      </c>
      <c r="I27" s="124" t="s">
        <v>87</v>
      </c>
      <c r="J27" s="125" t="s">
        <v>11</v>
      </c>
    </row>
    <row r="28" spans="1:11">
      <c r="A28" s="88" t="s">
        <v>77</v>
      </c>
      <c r="B28"/>
      <c r="C28" s="32"/>
      <c r="G28" s="124" t="s">
        <v>122</v>
      </c>
      <c r="H28" s="125">
        <v>-100</v>
      </c>
      <c r="I28" s="124" t="s">
        <v>87</v>
      </c>
      <c r="J28" s="125"/>
      <c r="K28" s="15"/>
    </row>
    <row r="29" spans="1:11">
      <c r="A29" s="86" t="s">
        <v>35</v>
      </c>
      <c r="B29" s="87">
        <v>158345</v>
      </c>
      <c r="C29" s="32"/>
      <c r="G29" s="124" t="s">
        <v>57</v>
      </c>
      <c r="H29" s="125">
        <v>-33</v>
      </c>
      <c r="I29" s="124" t="s">
        <v>87</v>
      </c>
      <c r="J29" s="125" t="s">
        <v>11</v>
      </c>
    </row>
    <row r="30" spans="1:11">
      <c r="A30" s="86" t="s">
        <v>37</v>
      </c>
      <c r="B30" s="87">
        <v>83156</v>
      </c>
      <c r="C30" s="32"/>
      <c r="G30" s="124" t="s">
        <v>79</v>
      </c>
      <c r="H30" s="125">
        <v>-12</v>
      </c>
      <c r="I30" s="124" t="s">
        <v>87</v>
      </c>
      <c r="J30" s="125"/>
    </row>
    <row r="31" spans="1:11">
      <c r="A31" s="89" t="s">
        <v>38</v>
      </c>
      <c r="B31" s="90">
        <f>SUM(B29:B30)</f>
        <v>241501</v>
      </c>
      <c r="C31" s="32"/>
      <c r="F31" s="30"/>
      <c r="G31" s="124" t="s">
        <v>82</v>
      </c>
      <c r="H31" s="125">
        <v>-359</v>
      </c>
      <c r="I31" s="124" t="s">
        <v>87</v>
      </c>
      <c r="J31" s="125"/>
    </row>
    <row r="32" spans="1:11">
      <c r="A32" s="92" t="s">
        <v>40</v>
      </c>
      <c r="B32" s="93">
        <f>B33*0.2</f>
        <v>80000</v>
      </c>
      <c r="C32" s="32" t="s">
        <v>81</v>
      </c>
      <c r="F32" s="30"/>
      <c r="G32" s="124" t="s">
        <v>123</v>
      </c>
      <c r="H32" s="125">
        <v>-16</v>
      </c>
      <c r="I32" s="124" t="s">
        <v>8</v>
      </c>
      <c r="J32" s="125"/>
    </row>
    <row r="33" spans="1:10">
      <c r="A33" s="86" t="s">
        <v>83</v>
      </c>
      <c r="B33" s="87">
        <v>400000</v>
      </c>
      <c r="C33" s="32"/>
      <c r="F33" s="30"/>
      <c r="G33" s="124" t="s">
        <v>114</v>
      </c>
      <c r="H33" s="125">
        <v>-6.86</v>
      </c>
      <c r="I33" s="124" t="s">
        <v>87</v>
      </c>
      <c r="J33" s="17"/>
    </row>
    <row r="34" spans="1:10">
      <c r="A34" s="91" t="s">
        <v>46</v>
      </c>
      <c r="B34" s="94">
        <f>SUM(B31:B32)-B33</f>
        <v>-78499</v>
      </c>
      <c r="C34" s="32"/>
      <c r="F34" s="30"/>
      <c r="G34" s="124" t="s">
        <v>84</v>
      </c>
      <c r="H34" s="125">
        <v>-114</v>
      </c>
      <c r="I34" s="124" t="s">
        <v>87</v>
      </c>
      <c r="J34" s="17"/>
    </row>
    <row r="35" spans="1:10">
      <c r="A35" s="92" t="s">
        <v>76</v>
      </c>
      <c r="B35" s="93">
        <f>B32+B31</f>
        <v>321501</v>
      </c>
      <c r="C35" s="32"/>
      <c r="F35" s="30"/>
      <c r="G35" s="17" t="s">
        <v>85</v>
      </c>
      <c r="H35" s="125">
        <v>-50</v>
      </c>
      <c r="I35" s="124" t="s">
        <v>87</v>
      </c>
      <c r="J35" s="17" t="s">
        <v>11</v>
      </c>
    </row>
    <row r="36" spans="1:10">
      <c r="A36" s="31"/>
      <c r="C36" s="32"/>
      <c r="F36" s="30"/>
      <c r="G36" s="17" t="s">
        <v>124</v>
      </c>
      <c r="H36" s="125">
        <v>-10</v>
      </c>
      <c r="I36" s="124" t="s">
        <v>87</v>
      </c>
      <c r="J36" s="17"/>
    </row>
    <row r="37" spans="1:10">
      <c r="A37" s="31"/>
      <c r="C37" s="32"/>
      <c r="F37" s="30"/>
      <c r="G37" s="17" t="s">
        <v>125</v>
      </c>
      <c r="H37" s="125">
        <v>-18</v>
      </c>
      <c r="I37" s="124" t="s">
        <v>87</v>
      </c>
      <c r="J37" s="17"/>
    </row>
    <row r="38" spans="1:10">
      <c r="A38" s="31"/>
      <c r="C38" s="32"/>
      <c r="F38" s="30"/>
    </row>
    <row r="39" spans="1:10">
      <c r="A39" s="31"/>
      <c r="C39" s="32"/>
      <c r="F39" s="30"/>
    </row>
    <row r="40" spans="1:10">
      <c r="A40" s="31"/>
      <c r="C40" s="32"/>
      <c r="F40" s="30"/>
    </row>
    <row r="41" spans="1:10">
      <c r="A41" s="31"/>
      <c r="C41" s="32"/>
      <c r="F41" s="30"/>
    </row>
    <row r="42" spans="1:10">
      <c r="A42" s="31"/>
      <c r="C42" s="32"/>
      <c r="F42" s="30"/>
    </row>
    <row r="43" spans="1:10">
      <c r="A43" s="31"/>
      <c r="C43" s="32"/>
      <c r="F43" s="30"/>
    </row>
    <row r="44" spans="1:10">
      <c r="A44" s="31"/>
      <c r="C44" s="32"/>
      <c r="F44" s="30"/>
    </row>
    <row r="45" spans="1:10">
      <c r="A45" s="31"/>
      <c r="C45" s="32"/>
      <c r="F45" s="30"/>
    </row>
    <row r="46" spans="1:10">
      <c r="A46" s="31"/>
      <c r="C46" s="32"/>
      <c r="F46" s="30"/>
    </row>
  </sheetData>
  <autoFilter ref="G1:J32" xr:uid="{00000000-0009-0000-0000-00000A000000}"/>
  <conditionalFormatting sqref="G2:J2 G3:H11 J3:J31 I3:I37 G12 G13:H31 G33:H34">
    <cfRule type="expression" dxfId="87" priority="3">
      <formula>#REF!</formula>
    </cfRule>
  </conditionalFormatting>
  <conditionalFormatting sqref="H35:H37">
    <cfRule type="expression" dxfId="86" priority="1">
      <formula>#REF!</formula>
    </cfRule>
  </conditionalFormatting>
  <conditionalFormatting sqref="J2:J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{551F7470-0DC7-4110-A19F-E40FC389DAB9}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1F7470-0DC7-4110-A19F-E40FC389DA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S47"/>
  <sheetViews>
    <sheetView zoomScale="220" zoomScaleNormal="220" workbookViewId="0">
      <selection activeCell="D5" sqref="D5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4706.24</v>
      </c>
      <c r="C2" s="3"/>
      <c r="D2" s="7" t="s">
        <v>1</v>
      </c>
      <c r="E2" s="4">
        <v>140</v>
      </c>
      <c r="G2" s="124" t="s">
        <v>7</v>
      </c>
      <c r="H2" s="125">
        <v>-897</v>
      </c>
      <c r="I2" s="124" t="s">
        <v>87</v>
      </c>
      <c r="J2" s="125"/>
    </row>
    <row r="3" spans="1:10">
      <c r="A3" s="100" t="s">
        <v>9</v>
      </c>
      <c r="B3" s="192">
        <f>SUMIF(I2:I28,"Yes*",H2:H28)</f>
        <v>-4309.8100000000004</v>
      </c>
      <c r="C3" s="3"/>
      <c r="D3" s="6"/>
      <c r="E3" s="5"/>
      <c r="G3" s="124" t="s">
        <v>10</v>
      </c>
      <c r="H3" s="125">
        <v>-244.8</v>
      </c>
      <c r="I3" s="124" t="s">
        <v>87</v>
      </c>
      <c r="J3" s="125" t="s">
        <v>11</v>
      </c>
    </row>
    <row r="4" spans="1:10">
      <c r="A4" s="118" t="s">
        <v>12</v>
      </c>
      <c r="B4" s="119">
        <v>42.02</v>
      </c>
      <c r="C4" s="3"/>
      <c r="D4" s="24"/>
      <c r="E4" s="25"/>
      <c r="F4" s="9"/>
      <c r="G4" s="124" t="s">
        <v>14</v>
      </c>
      <c r="H4" s="125">
        <v>-33</v>
      </c>
      <c r="I4" s="124" t="s">
        <v>87</v>
      </c>
      <c r="J4" s="125"/>
    </row>
    <row r="5" spans="1:10">
      <c r="A5" s="100" t="s">
        <v>15</v>
      </c>
      <c r="B5" s="193">
        <f>SUMIF(I2:I38,"No",H2:H38)</f>
        <v>-35</v>
      </c>
      <c r="C5" s="3"/>
      <c r="D5" s="24"/>
      <c r="E5" s="25"/>
      <c r="G5" s="124" t="s">
        <v>17</v>
      </c>
      <c r="H5" s="125">
        <v>-35</v>
      </c>
      <c r="I5" s="124" t="s">
        <v>8</v>
      </c>
      <c r="J5" s="125"/>
    </row>
    <row r="6" spans="1:10">
      <c r="A6" s="120" t="s">
        <v>18</v>
      </c>
      <c r="B6" s="121">
        <f>B5+B4</f>
        <v>7.0200000000000031</v>
      </c>
      <c r="C6" s="3" t="s">
        <v>19</v>
      </c>
      <c r="D6" s="24" t="s">
        <v>20</v>
      </c>
      <c r="E6" s="25">
        <v>300</v>
      </c>
      <c r="G6" s="124" t="s">
        <v>21</v>
      </c>
      <c r="H6" s="125">
        <v>-13.2</v>
      </c>
      <c r="I6" s="124" t="s">
        <v>87</v>
      </c>
      <c r="J6" s="125"/>
    </row>
    <row r="7" spans="1:10">
      <c r="A7" s="122" t="s">
        <v>22</v>
      </c>
      <c r="B7" s="194">
        <f>SUMIF(J2:J32,"f",H2:H32)</f>
        <v>-1914.3</v>
      </c>
      <c r="C7" s="30"/>
      <c r="D7" s="24" t="s">
        <v>104</v>
      </c>
      <c r="E7" s="25">
        <v>180</v>
      </c>
      <c r="G7" s="124" t="s">
        <v>24</v>
      </c>
      <c r="H7" s="125">
        <v>-118</v>
      </c>
      <c r="I7" s="124" t="s">
        <v>87</v>
      </c>
      <c r="J7" s="125"/>
    </row>
    <row r="8" spans="1:10">
      <c r="A8" s="31"/>
      <c r="C8" s="30"/>
      <c r="D8" s="24" t="s">
        <v>107</v>
      </c>
      <c r="E8" s="25">
        <v>50</v>
      </c>
      <c r="G8" s="124" t="s">
        <v>25</v>
      </c>
      <c r="H8" s="125">
        <v>-40</v>
      </c>
      <c r="I8" s="124" t="s">
        <v>87</v>
      </c>
      <c r="J8" s="125"/>
    </row>
    <row r="9" spans="1:10" ht="15" thickBot="1">
      <c r="A9" s="31"/>
      <c r="B9" s="111"/>
      <c r="C9"/>
      <c r="D9" s="24"/>
      <c r="E9" s="25"/>
      <c r="G9" s="124" t="s">
        <v>27</v>
      </c>
      <c r="H9" s="125">
        <v>-16.989999999999998</v>
      </c>
      <c r="I9" s="124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670</v>
      </c>
      <c r="G10" s="124"/>
      <c r="H10" s="125"/>
      <c r="I10" s="124" t="s">
        <v>8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24" t="s">
        <v>87</v>
      </c>
      <c r="J11" s="125"/>
    </row>
    <row r="12" spans="1:10" ht="15" thickBot="1">
      <c r="A12" s="115"/>
      <c r="B12" s="116"/>
      <c r="C12"/>
      <c r="D12" s="108"/>
      <c r="E12" s="109"/>
      <c r="G12" s="124" t="s">
        <v>32</v>
      </c>
      <c r="H12" s="126">
        <v>-37.53</v>
      </c>
      <c r="I12" s="124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24" t="s">
        <v>87</v>
      </c>
      <c r="J13" s="125"/>
    </row>
    <row r="14" spans="1:10">
      <c r="A14" s="31"/>
      <c r="B14" s="113">
        <v>806.34</v>
      </c>
      <c r="C14"/>
      <c r="D14" s="77"/>
      <c r="G14" s="124" t="s">
        <v>34</v>
      </c>
      <c r="H14" s="125">
        <v>-13</v>
      </c>
      <c r="I14" s="124" t="s">
        <v>87</v>
      </c>
      <c r="J14" s="125"/>
    </row>
    <row r="15" spans="1:10">
      <c r="A15" s="31"/>
      <c r="B15" s="113">
        <v>891.38</v>
      </c>
      <c r="C15"/>
      <c r="D15"/>
      <c r="G15" s="124"/>
      <c r="H15" s="125"/>
      <c r="I15" s="124"/>
      <c r="J15" s="125"/>
    </row>
    <row r="16" spans="1:10">
      <c r="A16" s="31"/>
      <c r="B16" s="113">
        <f>B15+B14</f>
        <v>1697.72</v>
      </c>
      <c r="C16"/>
      <c r="D16" s="101"/>
      <c r="G16" s="124" t="s">
        <v>34</v>
      </c>
      <c r="H16" s="125">
        <v>-29.2</v>
      </c>
      <c r="I16" s="124" t="s">
        <v>87</v>
      </c>
      <c r="J16" s="125"/>
    </row>
    <row r="17" spans="1:11">
      <c r="A17" s="31"/>
      <c r="B17" s="113"/>
      <c r="C17"/>
      <c r="D17" t="s">
        <v>67</v>
      </c>
      <c r="G17" s="124" t="s">
        <v>39</v>
      </c>
      <c r="H17" s="125">
        <v>-3</v>
      </c>
      <c r="I17" s="124" t="s">
        <v>87</v>
      </c>
      <c r="J17" s="125"/>
    </row>
    <row r="18" spans="1:11" ht="14">
      <c r="A18" s="88" t="s">
        <v>7</v>
      </c>
      <c r="B18"/>
      <c r="C18"/>
      <c r="D18"/>
      <c r="G18" s="124" t="s">
        <v>42</v>
      </c>
      <c r="H18" s="125">
        <v>-667</v>
      </c>
      <c r="I18" s="124" t="s">
        <v>87</v>
      </c>
      <c r="J18" s="125" t="s">
        <v>11</v>
      </c>
    </row>
    <row r="19" spans="1:11" ht="14">
      <c r="A19" s="86" t="s">
        <v>35</v>
      </c>
      <c r="B19" s="87">
        <v>159289</v>
      </c>
      <c r="C19"/>
      <c r="D19"/>
      <c r="G19" s="124" t="s">
        <v>121</v>
      </c>
      <c r="H19" s="125">
        <v>-835</v>
      </c>
      <c r="I19" s="124" t="s">
        <v>87</v>
      </c>
      <c r="J19" s="125" t="s">
        <v>11</v>
      </c>
    </row>
    <row r="20" spans="1:11" ht="14">
      <c r="A20" s="86" t="s">
        <v>37</v>
      </c>
      <c r="B20" s="87">
        <v>83545</v>
      </c>
      <c r="C20"/>
      <c r="D20"/>
      <c r="G20" s="124" t="s">
        <v>47</v>
      </c>
      <c r="H20" s="125">
        <v>-17.5</v>
      </c>
      <c r="I20" s="124" t="s">
        <v>87</v>
      </c>
      <c r="J20" s="125" t="s">
        <v>11</v>
      </c>
    </row>
    <row r="21" spans="1:11" ht="14">
      <c r="A21" s="89" t="s">
        <v>38</v>
      </c>
      <c r="B21" s="90">
        <f>SUM(B19:B20)</f>
        <v>242834</v>
      </c>
      <c r="C21"/>
      <c r="D21"/>
      <c r="G21" s="124" t="s">
        <v>126</v>
      </c>
      <c r="H21" s="125">
        <v>-109</v>
      </c>
      <c r="I21" s="124" t="s">
        <v>87</v>
      </c>
      <c r="J21" s="125"/>
    </row>
    <row r="22" spans="1:11">
      <c r="A22" s="92" t="s">
        <v>40</v>
      </c>
      <c r="B22" s="93">
        <f>B23*0.2</f>
        <v>90000</v>
      </c>
      <c r="C22"/>
      <c r="D22" t="s">
        <v>73</v>
      </c>
      <c r="G22" s="124" t="s">
        <v>49</v>
      </c>
      <c r="H22" s="125">
        <v>-800</v>
      </c>
      <c r="I22" s="124" t="s">
        <v>87</v>
      </c>
      <c r="J22" s="125"/>
    </row>
    <row r="23" spans="1:11" ht="14">
      <c r="A23" s="86" t="s">
        <v>43</v>
      </c>
      <c r="B23" s="87">
        <v>450000</v>
      </c>
      <c r="C23"/>
      <c r="D23"/>
      <c r="G23" s="124" t="s">
        <v>117</v>
      </c>
      <c r="H23" s="125">
        <v>-29</v>
      </c>
      <c r="I23" s="124" t="s">
        <v>87</v>
      </c>
      <c r="J23" s="125" t="s">
        <v>11</v>
      </c>
    </row>
    <row r="24" spans="1:11">
      <c r="A24" s="91" t="s">
        <v>46</v>
      </c>
      <c r="B24" s="94">
        <f>SUM(B21:B22)-B23</f>
        <v>-117166</v>
      </c>
      <c r="C24" s="32"/>
      <c r="G24" s="124" t="s">
        <v>52</v>
      </c>
      <c r="H24" s="125">
        <v>-7.6</v>
      </c>
      <c r="I24" s="124" t="s">
        <v>87</v>
      </c>
      <c r="J24" s="125"/>
    </row>
    <row r="25" spans="1:11">
      <c r="A25" s="92" t="s">
        <v>75</v>
      </c>
      <c r="B25" s="93">
        <v>450000</v>
      </c>
      <c r="C25" s="32"/>
      <c r="G25" s="124" t="s">
        <v>102</v>
      </c>
      <c r="H25" s="125">
        <v>-10</v>
      </c>
      <c r="I25" s="124" t="s">
        <v>87</v>
      </c>
      <c r="J25" s="125"/>
    </row>
    <row r="26" spans="1:11">
      <c r="A26" s="92" t="s">
        <v>76</v>
      </c>
      <c r="B26" s="93">
        <f>B25+B24</f>
        <v>332834</v>
      </c>
      <c r="C26" s="32"/>
      <c r="G26" s="124" t="s">
        <v>55</v>
      </c>
      <c r="H26" s="125">
        <v>-34</v>
      </c>
      <c r="I26" s="124" t="s">
        <v>87</v>
      </c>
      <c r="J26" s="125"/>
    </row>
    <row r="27" spans="1:11">
      <c r="A27" s="31"/>
      <c r="C27" s="32"/>
      <c r="G27" s="124" t="s">
        <v>56</v>
      </c>
      <c r="H27" s="125">
        <v>-80</v>
      </c>
      <c r="I27" s="124" t="s">
        <v>87</v>
      </c>
      <c r="J27" s="125" t="s">
        <v>11</v>
      </c>
    </row>
    <row r="28" spans="1:11">
      <c r="A28" s="31"/>
      <c r="B28" s="98"/>
      <c r="C28" s="32"/>
      <c r="G28" s="124" t="s">
        <v>127</v>
      </c>
      <c r="H28" s="125">
        <v>-50</v>
      </c>
      <c r="I28" s="124" t="s">
        <v>87</v>
      </c>
      <c r="J28" s="125"/>
      <c r="K28" s="15"/>
    </row>
    <row r="29" spans="1:11">
      <c r="A29" s="112"/>
      <c r="B29" s="113"/>
      <c r="C29" s="32"/>
      <c r="G29" s="124" t="s">
        <v>57</v>
      </c>
      <c r="H29" s="125">
        <v>-33</v>
      </c>
      <c r="I29" s="124" t="s">
        <v>87</v>
      </c>
      <c r="J29" s="125" t="s">
        <v>11</v>
      </c>
    </row>
    <row r="30" spans="1:11">
      <c r="A30" s="31"/>
      <c r="B30" s="113"/>
      <c r="C30" s="32"/>
      <c r="G30" s="124" t="s">
        <v>79</v>
      </c>
      <c r="H30" s="125">
        <v>-12</v>
      </c>
      <c r="I30" s="124" t="s">
        <v>87</v>
      </c>
      <c r="J30" s="125"/>
    </row>
    <row r="31" spans="1:11">
      <c r="A31" s="31"/>
      <c r="B31" s="113"/>
      <c r="C31" s="32"/>
      <c r="F31" s="30"/>
      <c r="G31" s="124" t="s">
        <v>82</v>
      </c>
      <c r="H31" s="125">
        <v>-104.46</v>
      </c>
      <c r="I31" s="124" t="s">
        <v>87</v>
      </c>
      <c r="J31" s="125"/>
    </row>
    <row r="32" spans="1:11">
      <c r="A32" s="31"/>
      <c r="C32" s="32" t="s">
        <v>81</v>
      </c>
      <c r="F32" s="30"/>
      <c r="G32" s="124" t="s">
        <v>128</v>
      </c>
      <c r="H32" s="125">
        <v>-8</v>
      </c>
      <c r="I32" s="124" t="s">
        <v>87</v>
      </c>
      <c r="J32" s="125" t="s">
        <v>11</v>
      </c>
    </row>
    <row r="33" spans="6:10">
      <c r="F33" s="30"/>
      <c r="G33" s="124" t="s">
        <v>114</v>
      </c>
      <c r="H33" s="125">
        <v>-6.86</v>
      </c>
      <c r="I33" s="124" t="s">
        <v>87</v>
      </c>
      <c r="J33" s="17"/>
    </row>
    <row r="34" spans="6:10">
      <c r="F34" s="30"/>
      <c r="G34" s="124" t="s">
        <v>84</v>
      </c>
      <c r="H34" s="125">
        <v>-114</v>
      </c>
      <c r="I34" s="124" t="s">
        <v>87</v>
      </c>
      <c r="J34" s="17"/>
    </row>
    <row r="35" spans="6:10">
      <c r="F35" s="30"/>
      <c r="G35" s="17" t="s">
        <v>116</v>
      </c>
      <c r="H35" s="125">
        <v>-100</v>
      </c>
      <c r="I35" s="124" t="s">
        <v>87</v>
      </c>
      <c r="J35" s="17"/>
    </row>
    <row r="36" spans="6:10">
      <c r="F36" s="30"/>
      <c r="G36" s="17" t="s">
        <v>85</v>
      </c>
      <c r="H36" s="125">
        <v>-50</v>
      </c>
      <c r="I36" s="124" t="s">
        <v>87</v>
      </c>
      <c r="J36" s="17" t="s">
        <v>11</v>
      </c>
    </row>
    <row r="37" spans="6:10">
      <c r="F37" s="30"/>
      <c r="G37" s="17"/>
      <c r="H37" s="125"/>
      <c r="I37" s="124" t="s">
        <v>8</v>
      </c>
      <c r="J37" s="17"/>
    </row>
    <row r="38" spans="6:10">
      <c r="F38" s="30"/>
      <c r="G38" s="17"/>
      <c r="H38" s="125"/>
      <c r="I38" s="124" t="s">
        <v>8</v>
      </c>
      <c r="J38" s="17"/>
    </row>
    <row r="39" spans="6:10">
      <c r="F39" s="30"/>
      <c r="I39" s="129" t="s">
        <v>8</v>
      </c>
    </row>
    <row r="40" spans="6:10">
      <c r="F40" s="30"/>
    </row>
    <row r="41" spans="6:10">
      <c r="F41" s="30"/>
    </row>
    <row r="42" spans="6:10">
      <c r="F42" s="30"/>
    </row>
    <row r="43" spans="6:10">
      <c r="F43" s="30"/>
    </row>
    <row r="44" spans="6:10">
      <c r="F44" s="30"/>
    </row>
    <row r="45" spans="6:10">
      <c r="F45" s="30"/>
    </row>
    <row r="46" spans="6:10">
      <c r="F46" s="30"/>
    </row>
    <row r="47" spans="6:10">
      <c r="F47" s="30"/>
    </row>
  </sheetData>
  <autoFilter ref="G1:J32" xr:uid="{00000000-0009-0000-0000-00000B000000}"/>
  <conditionalFormatting sqref="G2:J2 G3:H11 J3:J31 I3:I39 G12 G13:H31 G33:H34">
    <cfRule type="expression" dxfId="85" priority="3">
      <formula>#REF!</formula>
    </cfRule>
  </conditionalFormatting>
  <conditionalFormatting sqref="H35:H38">
    <cfRule type="expression" dxfId="84" priority="1">
      <formula>#REF!</formula>
    </cfRule>
  </conditionalFormatting>
  <conditionalFormatting sqref="J2:J3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{D29CFC18-AC21-4B20-BBD2-7BB41A56345E}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9CFC18-AC21-4B20-BBD2-7BB41A563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J2:J38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S47"/>
  <sheetViews>
    <sheetView zoomScale="175" zoomScaleNormal="175" workbookViewId="0">
      <selection activeCell="D5" sqref="D5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253" t="s">
        <v>0</v>
      </c>
      <c r="B1" s="254"/>
      <c r="C1" s="3"/>
      <c r="D1" s="255" t="s">
        <v>1</v>
      </c>
      <c r="E1" s="256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4665.7700000000004</v>
      </c>
      <c r="C2" s="3"/>
      <c r="D2" s="7" t="s">
        <v>1</v>
      </c>
      <c r="E2" s="4">
        <v>140</v>
      </c>
      <c r="G2" s="124" t="s">
        <v>7</v>
      </c>
      <c r="H2" s="125">
        <v>-897</v>
      </c>
      <c r="I2" s="124" t="s">
        <v>87</v>
      </c>
      <c r="J2" s="125"/>
    </row>
    <row r="3" spans="1:10">
      <c r="A3" s="100" t="s">
        <v>9</v>
      </c>
      <c r="B3" s="192">
        <f>SUMIF(I2:I28,"Yes*",H2:H28)</f>
        <v>-4431.7199999999993</v>
      </c>
      <c r="C3" s="3"/>
      <c r="D3" s="6"/>
      <c r="E3" s="5"/>
      <c r="G3" s="124" t="s">
        <v>10</v>
      </c>
      <c r="H3" s="125">
        <v>-244.8</v>
      </c>
      <c r="I3" s="124" t="s">
        <v>87</v>
      </c>
      <c r="J3" s="125" t="s">
        <v>11</v>
      </c>
    </row>
    <row r="4" spans="1:10">
      <c r="A4" s="118" t="s">
        <v>12</v>
      </c>
      <c r="B4" s="119">
        <v>27.45</v>
      </c>
      <c r="C4" s="3"/>
      <c r="D4" s="24"/>
      <c r="E4" s="25"/>
      <c r="F4" s="9"/>
      <c r="G4" s="124" t="s">
        <v>14</v>
      </c>
      <c r="H4" s="125">
        <v>-33</v>
      </c>
      <c r="I4" s="124" t="s">
        <v>87</v>
      </c>
      <c r="J4" s="125"/>
    </row>
    <row r="5" spans="1:10">
      <c r="A5" s="100" t="s">
        <v>15</v>
      </c>
      <c r="B5" s="193">
        <f>SUMIF(I2:I38,"No",H2:H38)</f>
        <v>0</v>
      </c>
      <c r="C5" s="3"/>
      <c r="D5" s="24"/>
      <c r="E5" s="25"/>
      <c r="G5" s="124" t="s">
        <v>17</v>
      </c>
      <c r="H5" s="125">
        <v>-35</v>
      </c>
      <c r="I5" s="124" t="s">
        <v>87</v>
      </c>
      <c r="J5" s="125"/>
    </row>
    <row r="6" spans="1:10">
      <c r="A6" s="120" t="s">
        <v>18</v>
      </c>
      <c r="B6" s="121">
        <f>B5+B4</f>
        <v>27.45</v>
      </c>
      <c r="C6" s="3" t="s">
        <v>19</v>
      </c>
      <c r="D6" s="24" t="s">
        <v>20</v>
      </c>
      <c r="E6" s="25">
        <v>260</v>
      </c>
      <c r="G6" s="124" t="s">
        <v>21</v>
      </c>
      <c r="H6" s="125">
        <v>-13.2</v>
      </c>
      <c r="I6" s="124" t="s">
        <v>87</v>
      </c>
      <c r="J6" s="125"/>
    </row>
    <row r="7" spans="1:10">
      <c r="A7" s="122" t="s">
        <v>22</v>
      </c>
      <c r="B7" s="194">
        <f>SUMIF(J2:J32,"f",H2:H32)</f>
        <v>-1801.3</v>
      </c>
      <c r="C7" s="30"/>
      <c r="D7" s="24" t="s">
        <v>129</v>
      </c>
      <c r="E7" s="25"/>
      <c r="G7" s="124" t="s">
        <v>24</v>
      </c>
      <c r="H7" s="125">
        <v>-217</v>
      </c>
      <c r="I7" s="124" t="s">
        <v>87</v>
      </c>
      <c r="J7" s="125"/>
    </row>
    <row r="8" spans="1:10">
      <c r="A8" s="31"/>
      <c r="B8" s="111"/>
      <c r="C8" s="30"/>
      <c r="D8" s="24"/>
      <c r="E8" s="25"/>
      <c r="G8" s="124" t="s">
        <v>25</v>
      </c>
      <c r="H8" s="125">
        <v>-40</v>
      </c>
      <c r="I8" s="124" t="s">
        <v>87</v>
      </c>
      <c r="J8" s="125"/>
    </row>
    <row r="9" spans="1:10" ht="15" thickBot="1">
      <c r="A9" s="31"/>
      <c r="B9" s="111"/>
      <c r="C9"/>
      <c r="D9" s="24"/>
      <c r="E9" s="25"/>
      <c r="G9" s="124" t="s">
        <v>27</v>
      </c>
      <c r="H9" s="125">
        <v>-16.989999999999998</v>
      </c>
      <c r="I9" s="124" t="s">
        <v>87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400</v>
      </c>
      <c r="G10" s="124" t="s">
        <v>130</v>
      </c>
      <c r="H10" s="125">
        <v>-62</v>
      </c>
      <c r="I10" s="124" t="s">
        <v>87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24" t="s">
        <v>87</v>
      </c>
      <c r="J11" s="125"/>
    </row>
    <row r="12" spans="1:10" ht="15" thickBot="1">
      <c r="A12" s="115"/>
      <c r="B12" s="116"/>
      <c r="C12"/>
      <c r="D12" s="108"/>
      <c r="E12" s="109"/>
      <c r="G12" s="124" t="s">
        <v>32</v>
      </c>
      <c r="H12" s="126">
        <v>-31.67</v>
      </c>
      <c r="I12" s="124" t="s">
        <v>87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24" t="s">
        <v>87</v>
      </c>
      <c r="J13" s="125"/>
    </row>
    <row r="14" spans="1:10">
      <c r="A14" s="31"/>
      <c r="C14"/>
      <c r="D14" s="77"/>
      <c r="G14" s="124" t="s">
        <v>34</v>
      </c>
      <c r="H14" s="125">
        <v>-13</v>
      </c>
      <c r="I14" s="124" t="s">
        <v>87</v>
      </c>
      <c r="J14" s="125"/>
    </row>
    <row r="15" spans="1:10">
      <c r="A15" s="31"/>
      <c r="C15"/>
      <c r="D15"/>
      <c r="G15" s="124" t="s">
        <v>36</v>
      </c>
      <c r="H15" s="125">
        <v>-6.25</v>
      </c>
      <c r="I15" s="124" t="s">
        <v>87</v>
      </c>
      <c r="J15" s="125"/>
    </row>
    <row r="16" spans="1:10">
      <c r="A16" s="31"/>
      <c r="C16"/>
      <c r="D16"/>
      <c r="G16" s="124" t="s">
        <v>34</v>
      </c>
      <c r="H16" s="125">
        <v>-28</v>
      </c>
      <c r="I16" s="124" t="s">
        <v>87</v>
      </c>
      <c r="J16" s="125"/>
    </row>
    <row r="17" spans="1:11">
      <c r="A17" s="31"/>
      <c r="C17"/>
      <c r="D17" t="s">
        <v>67</v>
      </c>
      <c r="G17" s="124" t="s">
        <v>39</v>
      </c>
      <c r="H17" s="125">
        <v>-3</v>
      </c>
      <c r="I17" s="124" t="s">
        <v>87</v>
      </c>
      <c r="J17" s="125"/>
    </row>
    <row r="18" spans="1:11" ht="14">
      <c r="A18" s="88" t="s">
        <v>7</v>
      </c>
      <c r="B18"/>
      <c r="C18"/>
      <c r="D18"/>
      <c r="G18" s="124" t="s">
        <v>42</v>
      </c>
      <c r="H18" s="125">
        <v>-880</v>
      </c>
      <c r="I18" s="124" t="s">
        <v>87</v>
      </c>
      <c r="J18" s="125" t="s">
        <v>11</v>
      </c>
    </row>
    <row r="19" spans="1:11" ht="14">
      <c r="A19" s="86" t="s">
        <v>35</v>
      </c>
      <c r="B19" s="87">
        <v>159289</v>
      </c>
      <c r="C19"/>
      <c r="D19"/>
      <c r="G19" s="124" t="s">
        <v>121</v>
      </c>
      <c r="H19" s="125">
        <v>-530</v>
      </c>
      <c r="I19" s="124" t="s">
        <v>87</v>
      </c>
      <c r="J19" s="125" t="s">
        <v>11</v>
      </c>
    </row>
    <row r="20" spans="1:11" ht="14">
      <c r="A20" s="86" t="s">
        <v>37</v>
      </c>
      <c r="B20" s="87">
        <v>83545</v>
      </c>
      <c r="C20"/>
      <c r="D20"/>
      <c r="G20" s="124" t="s">
        <v>47</v>
      </c>
      <c r="H20" s="125">
        <v>-17.5</v>
      </c>
      <c r="I20" s="124" t="s">
        <v>87</v>
      </c>
      <c r="J20" s="125" t="s">
        <v>11</v>
      </c>
    </row>
    <row r="21" spans="1:11" ht="14">
      <c r="A21" s="89" t="s">
        <v>38</v>
      </c>
      <c r="B21" s="90">
        <f>SUM(B19:B20)</f>
        <v>242834</v>
      </c>
      <c r="C21"/>
      <c r="D21"/>
      <c r="G21" s="124" t="s">
        <v>86</v>
      </c>
      <c r="H21" s="125">
        <v>-200</v>
      </c>
      <c r="I21" s="124" t="s">
        <v>87</v>
      </c>
      <c r="J21" s="125"/>
    </row>
    <row r="22" spans="1:11">
      <c r="A22" s="92" t="s">
        <v>40</v>
      </c>
      <c r="B22" s="93">
        <f>B23*0.2</f>
        <v>90000</v>
      </c>
      <c r="C22"/>
      <c r="D22" t="s">
        <v>73</v>
      </c>
      <c r="G22" s="124" t="s">
        <v>49</v>
      </c>
      <c r="H22" s="125">
        <v>-800</v>
      </c>
      <c r="I22" s="124" t="s">
        <v>87</v>
      </c>
      <c r="J22" s="125"/>
    </row>
    <row r="23" spans="1:11" ht="14">
      <c r="A23" s="86" t="s">
        <v>43</v>
      </c>
      <c r="B23" s="87">
        <v>450000</v>
      </c>
      <c r="C23"/>
      <c r="D23"/>
      <c r="G23" s="124" t="s">
        <v>117</v>
      </c>
      <c r="H23" s="125">
        <v>-8</v>
      </c>
      <c r="I23" s="124" t="s">
        <v>87</v>
      </c>
      <c r="J23" s="125" t="s">
        <v>11</v>
      </c>
    </row>
    <row r="24" spans="1:11">
      <c r="A24" s="91" t="s">
        <v>46</v>
      </c>
      <c r="B24" s="94">
        <f>SUM(B21:B22)-B23</f>
        <v>-117166</v>
      </c>
      <c r="C24" s="32"/>
      <c r="G24" s="124" t="s">
        <v>52</v>
      </c>
      <c r="H24" s="125">
        <v>-7.4</v>
      </c>
      <c r="I24" s="124" t="s">
        <v>87</v>
      </c>
      <c r="J24" s="125"/>
    </row>
    <row r="25" spans="1:11">
      <c r="A25" s="92" t="s">
        <v>75</v>
      </c>
      <c r="B25" s="93">
        <v>375000</v>
      </c>
      <c r="C25" s="32"/>
      <c r="G25" s="124" t="s">
        <v>102</v>
      </c>
      <c r="H25" s="125">
        <v>-10</v>
      </c>
      <c r="I25" s="124" t="s">
        <v>87</v>
      </c>
      <c r="J25" s="125"/>
    </row>
    <row r="26" spans="1:11">
      <c r="A26" s="92" t="s">
        <v>76</v>
      </c>
      <c r="B26" s="93">
        <f>B25+B24</f>
        <v>257834</v>
      </c>
      <c r="C26" s="32"/>
      <c r="G26" s="124" t="s">
        <v>55</v>
      </c>
      <c r="H26" s="125">
        <v>-32.92</v>
      </c>
      <c r="I26" s="124" t="s">
        <v>87</v>
      </c>
      <c r="J26" s="125"/>
    </row>
    <row r="27" spans="1:11">
      <c r="A27" s="31"/>
      <c r="C27" s="32"/>
      <c r="G27" s="124" t="s">
        <v>56</v>
      </c>
      <c r="H27" s="125">
        <v>-80</v>
      </c>
      <c r="I27" s="124" t="s">
        <v>87</v>
      </c>
      <c r="J27" s="125" t="s">
        <v>11</v>
      </c>
    </row>
    <row r="28" spans="1:11">
      <c r="A28" s="31"/>
      <c r="B28" s="98"/>
      <c r="C28" s="32"/>
      <c r="G28" s="124" t="s">
        <v>131</v>
      </c>
      <c r="H28" s="125"/>
      <c r="I28" s="124" t="s">
        <v>8</v>
      </c>
      <c r="J28" s="125"/>
      <c r="K28" s="15"/>
    </row>
    <row r="29" spans="1:11">
      <c r="A29" s="112"/>
      <c r="B29" s="113"/>
      <c r="C29" s="32"/>
      <c r="G29" s="124" t="s">
        <v>57</v>
      </c>
      <c r="H29" s="125">
        <v>-33</v>
      </c>
      <c r="I29" s="124" t="s">
        <v>87</v>
      </c>
      <c r="J29" s="125" t="s">
        <v>11</v>
      </c>
    </row>
    <row r="30" spans="1:11">
      <c r="A30" s="31"/>
      <c r="B30" s="113"/>
      <c r="C30" s="32"/>
      <c r="G30" s="124" t="s">
        <v>79</v>
      </c>
      <c r="H30" s="125">
        <v>-12</v>
      </c>
      <c r="I30" s="124" t="s">
        <v>87</v>
      </c>
      <c r="J30" s="125"/>
    </row>
    <row r="31" spans="1:11">
      <c r="A31" s="31"/>
      <c r="B31" s="113"/>
      <c r="C31" s="32"/>
      <c r="F31" s="30"/>
      <c r="G31" s="124" t="s">
        <v>82</v>
      </c>
      <c r="H31" s="125">
        <v>-31.76</v>
      </c>
      <c r="I31" s="124" t="s">
        <v>87</v>
      </c>
      <c r="J31" s="125"/>
    </row>
    <row r="32" spans="1:11">
      <c r="A32" s="31"/>
      <c r="C32" s="32" t="s">
        <v>81</v>
      </c>
      <c r="F32" s="30"/>
      <c r="G32" s="124" t="s">
        <v>128</v>
      </c>
      <c r="H32" s="125">
        <v>-8</v>
      </c>
      <c r="I32" s="124" t="s">
        <v>87</v>
      </c>
      <c r="J32" s="125" t="s">
        <v>11</v>
      </c>
    </row>
    <row r="33" spans="6:10">
      <c r="F33" s="30"/>
      <c r="G33" s="124" t="s">
        <v>114</v>
      </c>
      <c r="H33" s="125">
        <v>-6</v>
      </c>
      <c r="I33" s="124" t="s">
        <v>87</v>
      </c>
      <c r="J33" s="17"/>
    </row>
    <row r="34" spans="6:10">
      <c r="F34" s="30"/>
      <c r="G34" s="124" t="s">
        <v>84</v>
      </c>
      <c r="H34" s="125"/>
      <c r="I34" s="124" t="s">
        <v>8</v>
      </c>
      <c r="J34" s="17"/>
    </row>
    <row r="35" spans="6:10">
      <c r="F35" s="30"/>
      <c r="G35" s="17"/>
      <c r="H35" s="125"/>
      <c r="I35" s="124" t="s">
        <v>8</v>
      </c>
      <c r="J35" s="17"/>
    </row>
    <row r="36" spans="6:10">
      <c r="F36" s="30"/>
      <c r="G36" s="17" t="s">
        <v>85</v>
      </c>
      <c r="H36" s="125">
        <v>-50</v>
      </c>
      <c r="I36" s="124" t="s">
        <v>87</v>
      </c>
      <c r="J36" s="17" t="s">
        <v>11</v>
      </c>
    </row>
    <row r="37" spans="6:10">
      <c r="F37" s="30"/>
      <c r="G37" s="17"/>
      <c r="H37" s="125"/>
      <c r="I37" s="124" t="s">
        <v>8</v>
      </c>
      <c r="J37" s="17"/>
    </row>
    <row r="38" spans="6:10">
      <c r="F38" s="30"/>
      <c r="G38" s="17"/>
      <c r="H38" s="125"/>
      <c r="I38" s="124" t="s">
        <v>8</v>
      </c>
      <c r="J38" s="17"/>
    </row>
    <row r="39" spans="6:10">
      <c r="F39" s="30"/>
      <c r="I39" s="129" t="s">
        <v>8</v>
      </c>
    </row>
    <row r="40" spans="6:10">
      <c r="F40" s="30"/>
    </row>
    <row r="41" spans="6:10">
      <c r="F41" s="30"/>
    </row>
    <row r="42" spans="6:10">
      <c r="F42" s="30"/>
    </row>
    <row r="43" spans="6:10">
      <c r="F43" s="30"/>
    </row>
    <row r="44" spans="6:10">
      <c r="F44" s="30"/>
    </row>
    <row r="45" spans="6:10">
      <c r="F45" s="30"/>
    </row>
    <row r="46" spans="6:10">
      <c r="F46" s="30"/>
    </row>
    <row r="47" spans="6:10">
      <c r="F47" s="30"/>
    </row>
  </sheetData>
  <autoFilter ref="G1:J32" xr:uid="{00000000-0009-0000-0000-00000C000000}"/>
  <mergeCells count="2">
    <mergeCell ref="A1:B1"/>
    <mergeCell ref="D1:E1"/>
  </mergeCells>
  <conditionalFormatting sqref="G2:J2 G3:H11 J3:J31 I3:I39 G12 G13:H31 G33:H34">
    <cfRule type="expression" dxfId="83" priority="3">
      <formula>#REF!</formula>
    </cfRule>
  </conditionalFormatting>
  <conditionalFormatting sqref="H35:H38">
    <cfRule type="expression" dxfId="82" priority="1">
      <formula>#REF!</formula>
    </cfRule>
  </conditionalFormatting>
  <conditionalFormatting sqref="J2:J3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{17C69532-BB04-472B-BC99-E10BC4E779D6}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C69532-BB04-472B-BC99-E10BC4E779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J2:J38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S48"/>
  <sheetViews>
    <sheetView zoomScale="205" zoomScaleNormal="205" workbookViewId="0">
      <selection activeCell="D5" sqref="D5"/>
    </sheetView>
  </sheetViews>
  <sheetFormatPr defaultColWidth="0" defaultRowHeight="14.5"/>
  <cols>
    <col min="1" max="2" width="1.08203125" style="3" customWidth="1"/>
    <col min="3" max="3" width="17" style="1" bestFit="1" customWidth="1"/>
    <col min="4" max="4" width="13" style="3" customWidth="1"/>
    <col min="5" max="5" width="1.08203125" style="2" customWidth="1"/>
    <col min="6" max="6" width="17" style="3" bestFit="1" customWidth="1"/>
    <col min="7" max="7" width="10.5" style="3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6.5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4.5" customHeight="1" thickBot="1">
      <c r="C1" s="31"/>
      <c r="E1" s="32"/>
    </row>
    <row r="2" spans="3:12" ht="15" thickBot="1">
      <c r="C2" s="117" t="s">
        <v>0</v>
      </c>
      <c r="D2" s="31"/>
      <c r="E2" s="3"/>
      <c r="F2" s="106" t="s">
        <v>1</v>
      </c>
      <c r="G2" s="31"/>
      <c r="I2" s="120" t="s">
        <v>2</v>
      </c>
      <c r="J2" s="123" t="s">
        <v>3</v>
      </c>
      <c r="K2" s="120" t="s">
        <v>4</v>
      </c>
      <c r="L2" s="123" t="s">
        <v>5</v>
      </c>
    </row>
    <row r="3" spans="3:12">
      <c r="C3" s="118" t="s">
        <v>6</v>
      </c>
      <c r="D3" s="119">
        <v>4714.24</v>
      </c>
      <c r="E3" s="3"/>
      <c r="F3" s="7" t="s">
        <v>1</v>
      </c>
      <c r="G3" s="4">
        <v>155</v>
      </c>
      <c r="I3" s="124" t="s">
        <v>7</v>
      </c>
      <c r="J3" s="125">
        <v>-897</v>
      </c>
      <c r="K3" s="124" t="s">
        <v>87</v>
      </c>
      <c r="L3" s="125"/>
    </row>
    <row r="4" spans="3:12">
      <c r="C4" s="100" t="s">
        <v>9</v>
      </c>
      <c r="D4" s="192">
        <f>SUMIF(K3:K29,"Yes*",J3:J29)</f>
        <v>-4467.2</v>
      </c>
      <c r="E4" s="3"/>
      <c r="F4" s="6"/>
      <c r="G4" s="5"/>
      <c r="I4" s="124" t="s">
        <v>10</v>
      </c>
      <c r="J4" s="125">
        <v>-244.8</v>
      </c>
      <c r="K4" s="124" t="s">
        <v>87</v>
      </c>
      <c r="L4" s="125" t="s">
        <v>11</v>
      </c>
    </row>
    <row r="5" spans="3:12">
      <c r="C5" s="118" t="s">
        <v>12</v>
      </c>
      <c r="D5" s="119">
        <v>13.22</v>
      </c>
      <c r="E5" s="3"/>
      <c r="F5" s="24"/>
      <c r="G5" s="25"/>
      <c r="H5" s="9"/>
      <c r="I5" s="124" t="s">
        <v>14</v>
      </c>
      <c r="J5" s="125">
        <v>-28.4</v>
      </c>
      <c r="K5" s="124" t="s">
        <v>87</v>
      </c>
      <c r="L5" s="125"/>
    </row>
    <row r="6" spans="3:12">
      <c r="C6" s="100" t="s">
        <v>15</v>
      </c>
      <c r="D6" s="193">
        <f>SUMIF(K3:K39,"No",J3:J39)</f>
        <v>-11.7</v>
      </c>
      <c r="E6" s="3"/>
      <c r="F6" s="24" t="s">
        <v>132</v>
      </c>
      <c r="G6" s="25">
        <v>207</v>
      </c>
      <c r="I6" s="124" t="s">
        <v>17</v>
      </c>
      <c r="J6" s="125">
        <v>-35</v>
      </c>
      <c r="K6" s="124" t="s">
        <v>87</v>
      </c>
      <c r="L6" s="125"/>
    </row>
    <row r="7" spans="3:12">
      <c r="C7" s="120" t="s">
        <v>18</v>
      </c>
      <c r="D7" s="121">
        <f>D6+D5</f>
        <v>1.5200000000000014</v>
      </c>
      <c r="E7" s="3" t="s">
        <v>19</v>
      </c>
      <c r="F7" s="24" t="s">
        <v>20</v>
      </c>
      <c r="G7" s="25">
        <v>220</v>
      </c>
      <c r="I7" s="124" t="s">
        <v>21</v>
      </c>
      <c r="J7" s="125">
        <v>-13.2</v>
      </c>
      <c r="K7" s="124" t="s">
        <v>87</v>
      </c>
      <c r="L7" s="125"/>
    </row>
    <row r="8" spans="3:12">
      <c r="C8" s="122" t="s">
        <v>22</v>
      </c>
      <c r="D8" s="194">
        <f>SUMIF(L3:L33,"f",J3:J33)</f>
        <v>-1883.3</v>
      </c>
      <c r="E8" s="30"/>
      <c r="F8" s="24" t="s">
        <v>133</v>
      </c>
      <c r="G8" s="25">
        <v>218</v>
      </c>
      <c r="I8" s="124" t="s">
        <v>24</v>
      </c>
      <c r="J8" s="125">
        <v>-217</v>
      </c>
      <c r="K8" s="124" t="s">
        <v>87</v>
      </c>
      <c r="L8" s="125"/>
    </row>
    <row r="9" spans="3:12">
      <c r="C9" s="31"/>
      <c r="E9" s="30"/>
      <c r="F9" s="24"/>
      <c r="G9" s="25"/>
      <c r="I9" s="124" t="s">
        <v>25</v>
      </c>
      <c r="J9" s="125">
        <v>-40</v>
      </c>
      <c r="K9" s="124" t="s">
        <v>87</v>
      </c>
      <c r="L9" s="125"/>
    </row>
    <row r="10" spans="3:12" ht="15" thickBot="1">
      <c r="C10" s="31"/>
      <c r="D10" s="111"/>
      <c r="E10"/>
      <c r="F10" s="24"/>
      <c r="G10" s="25"/>
      <c r="I10" s="124" t="s">
        <v>27</v>
      </c>
      <c r="J10" s="125">
        <v>-16.989999999999998</v>
      </c>
      <c r="K10" s="124" t="s">
        <v>87</v>
      </c>
      <c r="L10" s="125"/>
    </row>
    <row r="11" spans="3:12" ht="15" thickBot="1">
      <c r="C11"/>
      <c r="D11" s="84"/>
      <c r="E11"/>
      <c r="F11" s="26" t="s">
        <v>28</v>
      </c>
      <c r="G11" s="27">
        <f>SUM(G3:G10)</f>
        <v>800</v>
      </c>
      <c r="I11" s="124" t="s">
        <v>134</v>
      </c>
      <c r="J11" s="125">
        <v>-10</v>
      </c>
      <c r="K11" s="124" t="s">
        <v>87</v>
      </c>
      <c r="L11" s="125"/>
    </row>
    <row r="12" spans="3:12" thickBot="1">
      <c r="C12"/>
      <c r="D12"/>
      <c r="E12"/>
      <c r="I12" s="124" t="s">
        <v>30</v>
      </c>
      <c r="J12" s="125">
        <v>-10.99</v>
      </c>
      <c r="K12" s="124" t="s">
        <v>87</v>
      </c>
      <c r="L12" s="125"/>
    </row>
    <row r="13" spans="3:12" ht="15" thickBot="1">
      <c r="C13" s="115"/>
      <c r="D13" s="116"/>
      <c r="E13"/>
      <c r="F13" s="108"/>
      <c r="G13" s="109"/>
      <c r="I13" s="124" t="s">
        <v>32</v>
      </c>
      <c r="J13" s="126">
        <v>-31.67</v>
      </c>
      <c r="K13" s="124" t="s">
        <v>87</v>
      </c>
      <c r="L13" s="125"/>
    </row>
    <row r="14" spans="3:12" ht="14">
      <c r="C14"/>
      <c r="D14"/>
      <c r="E14"/>
      <c r="F14"/>
      <c r="I14" s="124" t="s">
        <v>33</v>
      </c>
      <c r="J14" s="125">
        <v>-204</v>
      </c>
      <c r="K14" s="124" t="s">
        <v>87</v>
      </c>
      <c r="L14" s="125"/>
    </row>
    <row r="15" spans="3:12">
      <c r="C15" s="31"/>
      <c r="E15"/>
      <c r="F15" s="77"/>
      <c r="I15" s="124" t="s">
        <v>34</v>
      </c>
      <c r="J15" s="125">
        <v>-13</v>
      </c>
      <c r="K15" s="124" t="s">
        <v>87</v>
      </c>
      <c r="L15" s="125"/>
    </row>
    <row r="16" spans="3:12">
      <c r="C16" s="31"/>
      <c r="E16"/>
      <c r="F16"/>
      <c r="I16" s="124" t="s">
        <v>36</v>
      </c>
      <c r="J16" s="125">
        <v>-6.25</v>
      </c>
      <c r="K16" s="124" t="s">
        <v>87</v>
      </c>
      <c r="L16" s="125"/>
    </row>
    <row r="17" spans="1:13">
      <c r="C17" s="31"/>
      <c r="E17"/>
      <c r="F17"/>
      <c r="I17" s="124" t="s">
        <v>34</v>
      </c>
      <c r="J17" s="125">
        <v>-28</v>
      </c>
      <c r="K17" s="124" t="s">
        <v>87</v>
      </c>
      <c r="L17" s="125"/>
    </row>
    <row r="18" spans="1:13">
      <c r="C18" s="31"/>
      <c r="E18"/>
      <c r="F18" t="s">
        <v>67</v>
      </c>
      <c r="I18" s="124" t="s">
        <v>39</v>
      </c>
      <c r="J18" s="125">
        <v>-3</v>
      </c>
      <c r="K18" s="124" t="s">
        <v>87</v>
      </c>
      <c r="L18" s="125"/>
    </row>
    <row r="19" spans="1:13" ht="14">
      <c r="C19" s="88" t="s">
        <v>7</v>
      </c>
      <c r="D19"/>
      <c r="E19"/>
      <c r="F19"/>
      <c r="I19" s="124" t="s">
        <v>42</v>
      </c>
      <c r="J19" s="125">
        <v>-765</v>
      </c>
      <c r="K19" s="124" t="s">
        <v>87</v>
      </c>
      <c r="L19" s="125" t="s">
        <v>11</v>
      </c>
    </row>
    <row r="20" spans="1:13" ht="14">
      <c r="C20" s="86" t="s">
        <v>35</v>
      </c>
      <c r="D20" s="87">
        <v>159289</v>
      </c>
      <c r="E20"/>
      <c r="F20"/>
      <c r="I20" s="124" t="s">
        <v>121</v>
      </c>
      <c r="J20" s="125">
        <v>-740</v>
      </c>
      <c r="K20" s="124" t="s">
        <v>87</v>
      </c>
      <c r="L20" s="125" t="s">
        <v>11</v>
      </c>
    </row>
    <row r="21" spans="1:13" ht="14">
      <c r="C21" s="86" t="s">
        <v>37</v>
      </c>
      <c r="D21" s="87">
        <v>83545</v>
      </c>
      <c r="E21"/>
      <c r="F21"/>
      <c r="I21" s="124" t="s">
        <v>47</v>
      </c>
      <c r="J21" s="125">
        <v>-12.5</v>
      </c>
      <c r="K21" s="124" t="s">
        <v>87</v>
      </c>
      <c r="L21" s="125" t="s">
        <v>11</v>
      </c>
    </row>
    <row r="22" spans="1:13" ht="14">
      <c r="C22" s="89" t="s">
        <v>38</v>
      </c>
      <c r="D22" s="90">
        <f>SUM(D20:D21)</f>
        <v>242834</v>
      </c>
      <c r="E22"/>
      <c r="F22"/>
      <c r="I22" s="124" t="s">
        <v>135</v>
      </c>
      <c r="J22" s="125">
        <v>-70</v>
      </c>
      <c r="K22" s="124" t="s">
        <v>87</v>
      </c>
      <c r="L22" s="125"/>
    </row>
    <row r="23" spans="1:13">
      <c r="C23" s="92" t="s">
        <v>40</v>
      </c>
      <c r="D23" s="93">
        <f>D24*0.2</f>
        <v>90000</v>
      </c>
      <c r="E23"/>
      <c r="F23" t="s">
        <v>73</v>
      </c>
      <c r="I23" s="124" t="s">
        <v>49</v>
      </c>
      <c r="J23" s="125">
        <v>-800</v>
      </c>
      <c r="K23" s="124" t="s">
        <v>87</v>
      </c>
      <c r="L23" s="125"/>
    </row>
    <row r="24" spans="1:13" ht="14">
      <c r="C24" s="86" t="s">
        <v>43</v>
      </c>
      <c r="D24" s="87">
        <v>450000</v>
      </c>
      <c r="E24"/>
      <c r="F24"/>
      <c r="I24" s="124" t="s">
        <v>117</v>
      </c>
      <c r="J24" s="125"/>
      <c r="K24" s="124" t="s">
        <v>8</v>
      </c>
      <c r="L24" s="125" t="s">
        <v>11</v>
      </c>
    </row>
    <row r="25" spans="1:13">
      <c r="C25" s="91" t="s">
        <v>46</v>
      </c>
      <c r="D25" s="94">
        <f>D24-SUM(D22:D23)</f>
        <v>117166</v>
      </c>
      <c r="E25" s="32"/>
      <c r="I25" s="124" t="s">
        <v>52</v>
      </c>
      <c r="J25" s="125">
        <v>-7.4</v>
      </c>
      <c r="K25" s="124" t="s">
        <v>87</v>
      </c>
      <c r="L25" s="125"/>
    </row>
    <row r="26" spans="1:13">
      <c r="C26" s="86" t="s">
        <v>136</v>
      </c>
      <c r="D26" s="130">
        <v>450000</v>
      </c>
      <c r="E26" s="32"/>
      <c r="I26" s="124" t="s">
        <v>102</v>
      </c>
      <c r="J26" s="125">
        <v>-10</v>
      </c>
      <c r="K26" s="124" t="s">
        <v>87</v>
      </c>
      <c r="L26" s="125"/>
    </row>
    <row r="27" spans="1:13">
      <c r="C27" s="86" t="s">
        <v>137</v>
      </c>
      <c r="D27" s="131">
        <f>D26-D25</f>
        <v>332834</v>
      </c>
      <c r="E27" s="32"/>
      <c r="I27" s="124" t="s">
        <v>55</v>
      </c>
      <c r="J27" s="125">
        <v>-33</v>
      </c>
      <c r="K27" s="124" t="s">
        <v>87</v>
      </c>
      <c r="L27" s="125"/>
    </row>
    <row r="28" spans="1:13">
      <c r="C28" s="31"/>
      <c r="E28" s="32"/>
      <c r="I28" s="124" t="s">
        <v>56</v>
      </c>
      <c r="J28" s="125">
        <v>-80</v>
      </c>
      <c r="K28" s="124" t="s">
        <v>87</v>
      </c>
      <c r="L28" s="125" t="s">
        <v>11</v>
      </c>
    </row>
    <row r="29" spans="1:13">
      <c r="C29" s="31"/>
      <c r="D29" s="98"/>
      <c r="E29" s="32"/>
      <c r="I29" s="124" t="s">
        <v>133</v>
      </c>
      <c r="J29" s="125">
        <v>-150</v>
      </c>
      <c r="K29" s="124" t="s">
        <v>87</v>
      </c>
      <c r="L29" s="125"/>
      <c r="M29" s="15"/>
    </row>
    <row r="30" spans="1:13">
      <c r="C30" s="112"/>
      <c r="D30" s="113"/>
      <c r="E30" s="32"/>
      <c r="I30" s="124" t="s">
        <v>57</v>
      </c>
      <c r="J30" s="125">
        <v>-33</v>
      </c>
      <c r="K30" s="124" t="s">
        <v>87</v>
      </c>
      <c r="L30" s="125" t="s">
        <v>11</v>
      </c>
    </row>
    <row r="31" spans="1:13">
      <c r="A31" s="14"/>
      <c r="B31" s="14"/>
      <c r="C31" s="31"/>
      <c r="D31" s="113"/>
      <c r="E31" s="32"/>
      <c r="I31" s="124" t="s">
        <v>79</v>
      </c>
      <c r="J31" s="125">
        <v>-11.7</v>
      </c>
      <c r="K31" s="124" t="s">
        <v>8</v>
      </c>
      <c r="L31" s="125"/>
    </row>
    <row r="32" spans="1:13">
      <c r="C32" s="31"/>
      <c r="D32" s="113"/>
      <c r="E32" s="32"/>
      <c r="H32" s="30"/>
      <c r="I32" s="124" t="s">
        <v>82</v>
      </c>
      <c r="J32" s="125">
        <v>-132.37</v>
      </c>
      <c r="K32" s="124" t="s">
        <v>87</v>
      </c>
      <c r="L32" s="125"/>
    </row>
    <row r="33" spans="5:12">
      <c r="E33" s="32" t="s">
        <v>81</v>
      </c>
      <c r="H33" s="30"/>
      <c r="I33" s="124" t="s">
        <v>128</v>
      </c>
      <c r="J33" s="125">
        <v>-8</v>
      </c>
      <c r="K33" s="124" t="s">
        <v>87</v>
      </c>
      <c r="L33" s="125" t="s">
        <v>11</v>
      </c>
    </row>
    <row r="34" spans="5:12">
      <c r="E34" s="32"/>
      <c r="H34" s="30"/>
      <c r="I34" s="124" t="s">
        <v>114</v>
      </c>
      <c r="J34" s="125">
        <v>-6</v>
      </c>
      <c r="K34" s="124" t="s">
        <v>87</v>
      </c>
      <c r="L34" s="17"/>
    </row>
    <row r="35" spans="5:12">
      <c r="E35" s="32"/>
      <c r="H35" s="30"/>
      <c r="I35" s="124" t="s">
        <v>138</v>
      </c>
      <c r="J35" s="125">
        <v>-20</v>
      </c>
      <c r="K35" s="124" t="s">
        <v>87</v>
      </c>
      <c r="L35" s="17"/>
    </row>
    <row r="36" spans="5:12">
      <c r="E36" s="32"/>
      <c r="H36" s="30"/>
      <c r="I36" s="17" t="s">
        <v>139</v>
      </c>
      <c r="J36" s="125">
        <v>-25</v>
      </c>
      <c r="K36" s="124" t="s">
        <v>87</v>
      </c>
      <c r="L36" s="17"/>
    </row>
    <row r="37" spans="5:12">
      <c r="E37" s="32"/>
      <c r="H37" s="30"/>
      <c r="I37" s="17" t="s">
        <v>85</v>
      </c>
      <c r="J37" s="125">
        <v>-50</v>
      </c>
      <c r="K37" s="124" t="s">
        <v>87</v>
      </c>
      <c r="L37" s="17" t="s">
        <v>11</v>
      </c>
    </row>
    <row r="38" spans="5:12">
      <c r="E38" s="32"/>
      <c r="H38" s="30"/>
      <c r="I38" s="17" t="s">
        <v>140</v>
      </c>
      <c r="J38" s="125">
        <v>-160</v>
      </c>
      <c r="K38" s="124" t="s">
        <v>87</v>
      </c>
      <c r="L38" s="17"/>
    </row>
    <row r="39" spans="5:12">
      <c r="E39" s="32"/>
      <c r="H39" s="30"/>
      <c r="I39" s="17"/>
      <c r="J39" s="125"/>
      <c r="K39" s="124" t="s">
        <v>8</v>
      </c>
      <c r="L39" s="17"/>
    </row>
    <row r="40" spans="5:12">
      <c r="E40" s="32"/>
      <c r="H40" s="30"/>
      <c r="I40" s="17"/>
      <c r="J40" s="17"/>
      <c r="K40" s="124" t="s">
        <v>8</v>
      </c>
      <c r="L40" s="17"/>
    </row>
    <row r="41" spans="5:12">
      <c r="E41" s="32"/>
      <c r="H41" s="30"/>
    </row>
    <row r="42" spans="5:12">
      <c r="E42" s="32"/>
      <c r="H42" s="30"/>
    </row>
    <row r="43" spans="5:12">
      <c r="E43" s="32"/>
      <c r="H43" s="30"/>
    </row>
    <row r="44" spans="5:12">
      <c r="E44" s="32"/>
      <c r="H44" s="30"/>
    </row>
    <row r="45" spans="5:12">
      <c r="E45" s="32"/>
      <c r="H45" s="30"/>
    </row>
    <row r="46" spans="5:12">
      <c r="E46" s="32"/>
      <c r="H46" s="30"/>
    </row>
    <row r="47" spans="5:12">
      <c r="E47" s="32"/>
      <c r="H47" s="30"/>
    </row>
    <row r="48" spans="5:12">
      <c r="E48" s="32"/>
      <c r="H48" s="30"/>
    </row>
  </sheetData>
  <autoFilter ref="I2:L33" xr:uid="{00000000-0009-0000-0000-00000D000000}"/>
  <conditionalFormatting sqref="I3:L3 I4:J12 L4:L32 K4:K40 I13 I14:J32 I34:J35">
    <cfRule type="expression" dxfId="81" priority="3">
      <formula>$A$3</formula>
    </cfRule>
  </conditionalFormatting>
  <conditionalFormatting sqref="J36:J39">
    <cfRule type="expression" dxfId="80" priority="1">
      <formula>$A$3</formula>
    </cfRule>
  </conditionalFormatting>
  <conditionalFormatting sqref="L3:L3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{51DD68EB-7337-4C3E-8D9C-7122C02AE480}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DD68EB-7337-4C3E-8D9C-7122C02AE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L3:L39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S48"/>
  <sheetViews>
    <sheetView zoomScale="205" zoomScaleNormal="205" workbookViewId="0">
      <selection activeCell="D5" sqref="D5"/>
    </sheetView>
  </sheetViews>
  <sheetFormatPr defaultColWidth="0" defaultRowHeight="14.5"/>
  <cols>
    <col min="1" max="2" width="1.08203125" style="3" customWidth="1"/>
    <col min="3" max="3" width="13.08203125" style="1" customWidth="1"/>
    <col min="4" max="4" width="13" style="3" customWidth="1"/>
    <col min="5" max="5" width="1.08203125" style="2" customWidth="1"/>
    <col min="6" max="6" width="17" style="3" bestFit="1" customWidth="1"/>
    <col min="7" max="7" width="10.5" style="3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6.5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4.5" customHeight="1" thickBot="1">
      <c r="C1" s="31"/>
      <c r="E1" s="32"/>
    </row>
    <row r="2" spans="3:12" ht="15" thickBot="1">
      <c r="C2" s="117" t="s">
        <v>0</v>
      </c>
      <c r="D2" s="31"/>
      <c r="E2" s="3"/>
      <c r="F2" s="106" t="s">
        <v>1</v>
      </c>
      <c r="G2" s="31"/>
      <c r="I2" s="120" t="s">
        <v>2</v>
      </c>
      <c r="J2" s="123" t="s">
        <v>3</v>
      </c>
      <c r="K2" s="120" t="s">
        <v>4</v>
      </c>
      <c r="L2" s="123" t="s">
        <v>5</v>
      </c>
    </row>
    <row r="3" spans="3:12">
      <c r="C3" s="118" t="s">
        <v>6</v>
      </c>
      <c r="D3" s="119">
        <v>4830.24</v>
      </c>
      <c r="E3" s="3"/>
      <c r="F3" s="7" t="s">
        <v>1</v>
      </c>
      <c r="G3" s="4">
        <v>160</v>
      </c>
      <c r="I3" s="124" t="s">
        <v>7</v>
      </c>
      <c r="J3" s="125">
        <v>-897</v>
      </c>
      <c r="K3" s="124" t="s">
        <v>87</v>
      </c>
      <c r="L3" s="125"/>
    </row>
    <row r="4" spans="3:12">
      <c r="C4" s="100" t="s">
        <v>9</v>
      </c>
      <c r="D4" s="192">
        <f>SUMIF(K3:K29,"Yes*",J3:J29)</f>
        <v>-4627.7</v>
      </c>
      <c r="E4" s="3"/>
      <c r="F4" s="6"/>
      <c r="G4" s="5"/>
      <c r="I4" s="124" t="s">
        <v>10</v>
      </c>
      <c r="J4" s="125">
        <v>-244.8</v>
      </c>
      <c r="K4" s="124" t="s">
        <v>87</v>
      </c>
      <c r="L4" s="125" t="s">
        <v>11</v>
      </c>
    </row>
    <row r="5" spans="3:12">
      <c r="C5" s="118" t="s">
        <v>12</v>
      </c>
      <c r="D5" s="119">
        <v>8</v>
      </c>
      <c r="E5" s="3"/>
      <c r="F5" s="24"/>
      <c r="G5" s="25"/>
      <c r="H5" s="9"/>
      <c r="I5" s="124" t="s">
        <v>14</v>
      </c>
      <c r="J5" s="125">
        <v>-28.4</v>
      </c>
      <c r="K5" s="124" t="s">
        <v>87</v>
      </c>
      <c r="L5" s="125"/>
    </row>
    <row r="6" spans="3:12">
      <c r="C6" s="100" t="s">
        <v>15</v>
      </c>
      <c r="D6" s="193">
        <f>SUMIF(K3:K39,"No",J3:J39)</f>
        <v>0</v>
      </c>
      <c r="E6" s="3"/>
      <c r="F6" s="24" t="s">
        <v>141</v>
      </c>
      <c r="G6" s="25">
        <v>207</v>
      </c>
      <c r="I6" s="124" t="s">
        <v>17</v>
      </c>
      <c r="J6" s="125">
        <v>-35</v>
      </c>
      <c r="K6" s="124" t="s">
        <v>87</v>
      </c>
      <c r="L6" s="125"/>
    </row>
    <row r="7" spans="3:12">
      <c r="C7" s="120" t="s">
        <v>18</v>
      </c>
      <c r="D7" s="121">
        <f>D6+D5</f>
        <v>8</v>
      </c>
      <c r="E7" s="3" t="s">
        <v>19</v>
      </c>
      <c r="F7" s="24" t="s">
        <v>20</v>
      </c>
      <c r="G7" s="25">
        <v>230</v>
      </c>
      <c r="I7" s="124" t="s">
        <v>21</v>
      </c>
      <c r="J7" s="125">
        <v>-13.2</v>
      </c>
      <c r="K7" s="124" t="s">
        <v>87</v>
      </c>
      <c r="L7" s="125"/>
    </row>
    <row r="8" spans="3:12">
      <c r="C8" s="122" t="s">
        <v>22</v>
      </c>
      <c r="D8" s="194">
        <f>SUMIF(L3:L33,"f",J3:J33)</f>
        <v>-1949.3</v>
      </c>
      <c r="E8" s="30"/>
      <c r="F8" s="24" t="s">
        <v>133</v>
      </c>
      <c r="G8" s="25">
        <v>211</v>
      </c>
      <c r="I8" s="124" t="s">
        <v>24</v>
      </c>
      <c r="J8" s="125">
        <v>-217</v>
      </c>
      <c r="K8" s="124" t="s">
        <v>87</v>
      </c>
      <c r="L8" s="125"/>
    </row>
    <row r="9" spans="3:12">
      <c r="C9" s="31"/>
      <c r="E9" s="30"/>
      <c r="F9" s="24" t="s">
        <v>142</v>
      </c>
      <c r="G9" s="25">
        <v>20</v>
      </c>
      <c r="I9" s="124" t="s">
        <v>25</v>
      </c>
      <c r="J9" s="125">
        <v>-80</v>
      </c>
      <c r="K9" s="124" t="s">
        <v>87</v>
      </c>
      <c r="L9" s="125"/>
    </row>
    <row r="10" spans="3:12" ht="15" thickBot="1">
      <c r="C10" s="31"/>
      <c r="D10" s="111"/>
      <c r="E10"/>
      <c r="F10" s="24"/>
      <c r="G10" s="25"/>
      <c r="I10" s="124" t="s">
        <v>27</v>
      </c>
      <c r="J10" s="125">
        <v>-16.989999999999998</v>
      </c>
      <c r="K10" s="124" t="s">
        <v>87</v>
      </c>
      <c r="L10" s="125"/>
    </row>
    <row r="11" spans="3:12" ht="15" thickBot="1">
      <c r="C11"/>
      <c r="D11" s="84"/>
      <c r="E11"/>
      <c r="F11" s="26" t="s">
        <v>28</v>
      </c>
      <c r="G11" s="27">
        <f>SUM(G3:G10)</f>
        <v>828</v>
      </c>
      <c r="I11" s="124" t="s">
        <v>134</v>
      </c>
      <c r="J11" s="125">
        <v>-10.5</v>
      </c>
      <c r="K11" s="124" t="s">
        <v>87</v>
      </c>
      <c r="L11" s="125"/>
    </row>
    <row r="12" spans="3:12" thickBot="1">
      <c r="C12"/>
      <c r="D12"/>
      <c r="E12"/>
      <c r="I12" s="124" t="s">
        <v>30</v>
      </c>
      <c r="J12" s="125">
        <v>-10.99</v>
      </c>
      <c r="K12" s="124" t="s">
        <v>87</v>
      </c>
      <c r="L12" s="125"/>
    </row>
    <row r="13" spans="3:12" ht="15" thickBot="1">
      <c r="C13" s="115"/>
      <c r="D13" s="116"/>
      <c r="E13"/>
      <c r="F13" s="108"/>
      <c r="G13" s="109"/>
      <c r="I13" s="124" t="s">
        <v>32</v>
      </c>
      <c r="J13" s="126">
        <v>-31.67</v>
      </c>
      <c r="K13" s="124" t="s">
        <v>87</v>
      </c>
      <c r="L13" s="125"/>
    </row>
    <row r="14" spans="3:12" ht="14">
      <c r="C14"/>
      <c r="D14"/>
      <c r="E14"/>
      <c r="F14"/>
      <c r="I14" s="124" t="s">
        <v>33</v>
      </c>
      <c r="J14" s="125">
        <v>-204</v>
      </c>
      <c r="K14" s="124" t="s">
        <v>87</v>
      </c>
      <c r="L14" s="125"/>
    </row>
    <row r="15" spans="3:12">
      <c r="C15" s="31"/>
      <c r="E15"/>
      <c r="F15" s="77"/>
      <c r="I15" s="124" t="s">
        <v>34</v>
      </c>
      <c r="J15" s="125">
        <v>-13</v>
      </c>
      <c r="K15" s="124" t="s">
        <v>87</v>
      </c>
      <c r="L15" s="125"/>
    </row>
    <row r="16" spans="3:12">
      <c r="C16" s="31"/>
      <c r="E16"/>
      <c r="F16"/>
      <c r="I16" s="124" t="s">
        <v>36</v>
      </c>
      <c r="J16" s="125">
        <v>-6.25</v>
      </c>
      <c r="K16" s="124" t="s">
        <v>87</v>
      </c>
      <c r="L16" s="125"/>
    </row>
    <row r="17" spans="1:13">
      <c r="C17" s="31"/>
      <c r="E17"/>
      <c r="F17"/>
      <c r="I17" s="124" t="s">
        <v>34</v>
      </c>
      <c r="J17" s="125">
        <v>-28</v>
      </c>
      <c r="K17" s="124" t="s">
        <v>87</v>
      </c>
      <c r="L17" s="125"/>
    </row>
    <row r="18" spans="1:13">
      <c r="C18" s="31"/>
      <c r="E18"/>
      <c r="F18" t="s">
        <v>67</v>
      </c>
      <c r="I18" s="124" t="s">
        <v>39</v>
      </c>
      <c r="J18" s="125">
        <v>-3</v>
      </c>
      <c r="K18" s="124" t="s">
        <v>87</v>
      </c>
      <c r="L18" s="125"/>
    </row>
    <row r="19" spans="1:13" ht="14">
      <c r="C19" s="88" t="s">
        <v>7</v>
      </c>
      <c r="D19"/>
      <c r="E19"/>
      <c r="F19"/>
      <c r="I19" s="124" t="s">
        <v>42</v>
      </c>
      <c r="J19" s="125">
        <v>-650</v>
      </c>
      <c r="K19" s="124" t="s">
        <v>87</v>
      </c>
      <c r="L19" s="125" t="s">
        <v>11</v>
      </c>
    </row>
    <row r="20" spans="1:13" ht="14">
      <c r="C20" s="86" t="s">
        <v>35</v>
      </c>
      <c r="D20" s="87">
        <v>167660.10999999999</v>
      </c>
      <c r="E20"/>
      <c r="F20"/>
      <c r="I20" s="124" t="s">
        <v>121</v>
      </c>
      <c r="J20" s="125">
        <v>-860</v>
      </c>
      <c r="K20" s="124" t="s">
        <v>87</v>
      </c>
      <c r="L20" s="125" t="s">
        <v>11</v>
      </c>
    </row>
    <row r="21" spans="1:13" ht="14">
      <c r="C21" s="86" t="s">
        <v>37</v>
      </c>
      <c r="D21" s="87">
        <v>87559.93</v>
      </c>
      <c r="E21"/>
      <c r="F21"/>
      <c r="I21" s="124" t="s">
        <v>47</v>
      </c>
      <c r="J21" s="125">
        <v>-12.5</v>
      </c>
      <c r="K21" s="124" t="s">
        <v>87</v>
      </c>
      <c r="L21" s="125" t="s">
        <v>11</v>
      </c>
    </row>
    <row r="22" spans="1:13" ht="14">
      <c r="C22" s="89" t="s">
        <v>38</v>
      </c>
      <c r="D22" s="90">
        <f>SUM(D20:D21)</f>
        <v>255220.03999999998</v>
      </c>
      <c r="E22"/>
      <c r="F22"/>
      <c r="I22" s="124" t="s">
        <v>143</v>
      </c>
      <c r="J22" s="125">
        <v>-100</v>
      </c>
      <c r="K22" s="124" t="s">
        <v>87</v>
      </c>
      <c r="L22" s="125"/>
    </row>
    <row r="23" spans="1:13">
      <c r="C23" s="92" t="s">
        <v>40</v>
      </c>
      <c r="D23" s="93">
        <f>D24*0.2</f>
        <v>89000</v>
      </c>
      <c r="E23"/>
      <c r="F23" t="s">
        <v>73</v>
      </c>
      <c r="I23" s="124" t="s">
        <v>49</v>
      </c>
      <c r="J23" s="125">
        <v>-950</v>
      </c>
      <c r="K23" s="124" t="s">
        <v>87</v>
      </c>
      <c r="L23" s="125"/>
    </row>
    <row r="24" spans="1:13" ht="14">
      <c r="C24" s="86" t="s">
        <v>43</v>
      </c>
      <c r="D24" s="87">
        <v>445000</v>
      </c>
      <c r="E24"/>
      <c r="F24"/>
      <c r="I24" s="124" t="s">
        <v>117</v>
      </c>
      <c r="J24" s="125">
        <v>-69</v>
      </c>
      <c r="K24" s="124" t="s">
        <v>87</v>
      </c>
      <c r="L24" s="125" t="s">
        <v>11</v>
      </c>
    </row>
    <row r="25" spans="1:13">
      <c r="C25" s="91" t="s">
        <v>46</v>
      </c>
      <c r="D25" s="94">
        <f>SUM(D22:D23)-D24</f>
        <v>-100779.96000000002</v>
      </c>
      <c r="E25" s="32"/>
      <c r="I25" s="124" t="s">
        <v>52</v>
      </c>
      <c r="J25" s="125">
        <v>-7.4</v>
      </c>
      <c r="K25" s="124" t="s">
        <v>87</v>
      </c>
      <c r="L25" s="125"/>
    </row>
    <row r="26" spans="1:13">
      <c r="C26"/>
      <c r="D26"/>
      <c r="E26" s="32"/>
      <c r="I26" s="124" t="s">
        <v>102</v>
      </c>
      <c r="J26" s="125"/>
      <c r="K26" s="124" t="s">
        <v>8</v>
      </c>
      <c r="L26" s="125"/>
    </row>
    <row r="27" spans="1:13">
      <c r="C27" s="31"/>
      <c r="E27" s="32"/>
      <c r="I27" s="124" t="s">
        <v>55</v>
      </c>
      <c r="J27" s="125">
        <v>-33</v>
      </c>
      <c r="K27" s="124" t="s">
        <v>87</v>
      </c>
      <c r="L27" s="125"/>
    </row>
    <row r="28" spans="1:13">
      <c r="C28" s="31"/>
      <c r="E28" s="32"/>
      <c r="I28" s="124" t="s">
        <v>56</v>
      </c>
      <c r="J28" s="125">
        <v>-80</v>
      </c>
      <c r="K28" s="124" t="s">
        <v>87</v>
      </c>
      <c r="L28" s="125" t="s">
        <v>11</v>
      </c>
    </row>
    <row r="29" spans="1:13">
      <c r="C29" s="31"/>
      <c r="D29" s="98"/>
      <c r="E29" s="32"/>
      <c r="I29" s="124" t="s">
        <v>144</v>
      </c>
      <c r="J29" s="125">
        <v>-26</v>
      </c>
      <c r="K29" s="124" t="s">
        <v>87</v>
      </c>
      <c r="L29" s="125"/>
      <c r="M29" s="15"/>
    </row>
    <row r="30" spans="1:13">
      <c r="C30" s="112"/>
      <c r="D30" s="113"/>
      <c r="E30" s="32"/>
      <c r="I30" s="124" t="s">
        <v>57</v>
      </c>
      <c r="J30" s="125">
        <v>-25</v>
      </c>
      <c r="K30" s="124" t="s">
        <v>87</v>
      </c>
      <c r="L30" s="125" t="s">
        <v>11</v>
      </c>
    </row>
    <row r="31" spans="1:13">
      <c r="A31" s="14"/>
      <c r="B31" s="14"/>
      <c r="C31" s="31"/>
      <c r="D31" s="113"/>
      <c r="E31" s="32"/>
      <c r="I31" s="124" t="s">
        <v>79</v>
      </c>
      <c r="J31" s="125">
        <v>-11.7</v>
      </c>
      <c r="K31" s="124" t="s">
        <v>87</v>
      </c>
      <c r="L31" s="125"/>
    </row>
    <row r="32" spans="1:13">
      <c r="C32" s="31"/>
      <c r="D32" s="113"/>
      <c r="E32" s="32"/>
      <c r="H32" s="30"/>
      <c r="I32" s="124" t="s">
        <v>82</v>
      </c>
      <c r="J32" s="125">
        <v>-43.36</v>
      </c>
      <c r="K32" s="124" t="s">
        <v>87</v>
      </c>
      <c r="L32" s="125"/>
    </row>
    <row r="33" spans="5:12">
      <c r="E33" s="32" t="s">
        <v>81</v>
      </c>
      <c r="H33" s="30"/>
      <c r="I33" s="124" t="s">
        <v>128</v>
      </c>
      <c r="J33" s="125">
        <v>-8</v>
      </c>
      <c r="K33" s="124" t="s">
        <v>87</v>
      </c>
      <c r="L33" s="125" t="s">
        <v>11</v>
      </c>
    </row>
    <row r="34" spans="5:12">
      <c r="E34" s="32"/>
      <c r="H34" s="30"/>
      <c r="I34" s="124" t="s">
        <v>114</v>
      </c>
      <c r="J34" s="125">
        <v>-6</v>
      </c>
      <c r="K34" s="124" t="s">
        <v>87</v>
      </c>
      <c r="L34" s="17"/>
    </row>
    <row r="35" spans="5:12">
      <c r="E35" s="32"/>
      <c r="H35" s="30"/>
      <c r="I35" s="124" t="s">
        <v>133</v>
      </c>
      <c r="J35" s="125">
        <v>-20</v>
      </c>
      <c r="K35" s="124" t="s">
        <v>87</v>
      </c>
      <c r="L35" s="17"/>
    </row>
    <row r="36" spans="5:12">
      <c r="E36" s="32"/>
      <c r="H36" s="30"/>
      <c r="I36" s="17" t="s">
        <v>145</v>
      </c>
      <c r="J36" s="125">
        <v>-20</v>
      </c>
      <c r="K36" s="124" t="s">
        <v>87</v>
      </c>
      <c r="L36" s="17"/>
    </row>
    <row r="37" spans="5:12">
      <c r="E37" s="32"/>
      <c r="H37" s="30"/>
      <c r="I37" s="17" t="s">
        <v>85</v>
      </c>
      <c r="J37" s="125">
        <v>-50</v>
      </c>
      <c r="K37" s="124" t="s">
        <v>87</v>
      </c>
      <c r="L37" s="17" t="s">
        <v>11</v>
      </c>
    </row>
    <row r="38" spans="5:12">
      <c r="E38" s="32"/>
      <c r="H38" s="30"/>
      <c r="I38" s="17" t="s">
        <v>146</v>
      </c>
      <c r="J38" s="125"/>
      <c r="K38" s="124" t="s">
        <v>8</v>
      </c>
      <c r="L38" s="17"/>
    </row>
    <row r="39" spans="5:12">
      <c r="E39" s="32"/>
      <c r="H39" s="30"/>
      <c r="I39" s="17" t="s">
        <v>147</v>
      </c>
      <c r="J39" s="125">
        <v>-50</v>
      </c>
      <c r="K39" s="124" t="s">
        <v>87</v>
      </c>
      <c r="L39" s="17"/>
    </row>
    <row r="40" spans="5:12">
      <c r="E40" s="32"/>
      <c r="H40" s="30"/>
    </row>
    <row r="41" spans="5:12">
      <c r="E41" s="32"/>
      <c r="H41" s="30"/>
    </row>
    <row r="42" spans="5:12">
      <c r="E42" s="32"/>
      <c r="H42" s="30"/>
    </row>
    <row r="43" spans="5:12">
      <c r="E43" s="32"/>
      <c r="H43" s="30"/>
    </row>
    <row r="44" spans="5:12">
      <c r="E44" s="32"/>
      <c r="H44" s="30"/>
    </row>
    <row r="45" spans="5:12">
      <c r="E45" s="32"/>
      <c r="H45" s="30"/>
    </row>
    <row r="46" spans="5:12">
      <c r="E46" s="32"/>
      <c r="H46" s="30"/>
    </row>
    <row r="47" spans="5:12">
      <c r="E47" s="32"/>
      <c r="H47" s="30"/>
    </row>
    <row r="48" spans="5:12">
      <c r="E48" s="32"/>
      <c r="H48" s="30"/>
    </row>
  </sheetData>
  <autoFilter ref="I2:L33" xr:uid="{00000000-0009-0000-0000-00000E000000}"/>
  <conditionalFormatting sqref="I3:L3 I4:J12 L4:L32 K4:K39 I13 I14:J32 I34:J35">
    <cfRule type="expression" dxfId="79" priority="3">
      <formula>$A$3</formula>
    </cfRule>
  </conditionalFormatting>
  <conditionalFormatting sqref="J36:J39">
    <cfRule type="expression" dxfId="78" priority="1">
      <formula>$A$3</formula>
    </cfRule>
  </conditionalFormatting>
  <conditionalFormatting sqref="L3:L3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{3C0AD1E8-060B-4320-A415-100C789A314E}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AD1E8-060B-4320-A415-100C789A3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L3:L39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S48"/>
  <sheetViews>
    <sheetView zoomScale="205" zoomScaleNormal="205" workbookViewId="0">
      <selection activeCell="D5" sqref="D5"/>
    </sheetView>
  </sheetViews>
  <sheetFormatPr defaultColWidth="0" defaultRowHeight="14.5"/>
  <cols>
    <col min="1" max="2" width="1.08203125" style="3" customWidth="1"/>
    <col min="3" max="3" width="13.08203125" style="1" customWidth="1"/>
    <col min="4" max="4" width="13" style="3" customWidth="1"/>
    <col min="5" max="5" width="1.08203125" style="2" customWidth="1"/>
    <col min="6" max="6" width="17" style="3" bestFit="1" customWidth="1"/>
    <col min="7" max="7" width="10.5" style="3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6.5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4.5" customHeight="1" thickBot="1">
      <c r="C1" s="31"/>
      <c r="E1" s="32"/>
    </row>
    <row r="2" spans="3:12" ht="15" thickBot="1">
      <c r="C2" s="117" t="s">
        <v>0</v>
      </c>
      <c r="D2" s="31"/>
      <c r="E2" s="3"/>
      <c r="F2" s="106" t="s">
        <v>1</v>
      </c>
      <c r="G2" s="31"/>
      <c r="I2" s="120" t="s">
        <v>2</v>
      </c>
      <c r="J2" s="123" t="s">
        <v>3</v>
      </c>
      <c r="K2" s="120" t="s">
        <v>4</v>
      </c>
      <c r="L2" s="123" t="s">
        <v>5</v>
      </c>
    </row>
    <row r="3" spans="3:12">
      <c r="C3" s="118" t="s">
        <v>6</v>
      </c>
      <c r="D3" s="119">
        <v>4791.7</v>
      </c>
      <c r="E3" s="3"/>
      <c r="F3" s="7" t="s">
        <v>1</v>
      </c>
      <c r="G3" s="4">
        <v>180</v>
      </c>
      <c r="I3" s="124" t="s">
        <v>7</v>
      </c>
      <c r="J3" s="125">
        <v>-897</v>
      </c>
      <c r="K3" s="124" t="s">
        <v>87</v>
      </c>
      <c r="L3" s="125"/>
    </row>
    <row r="4" spans="3:12">
      <c r="C4" s="100" t="s">
        <v>9</v>
      </c>
      <c r="D4" s="192">
        <f>SUMIF(K3:K29,"Yes*",J3:J29)</f>
        <v>-4752.2</v>
      </c>
      <c r="E4" s="3"/>
      <c r="F4" s="6" t="s">
        <v>98</v>
      </c>
      <c r="G4" s="5"/>
      <c r="I4" s="124" t="s">
        <v>10</v>
      </c>
      <c r="J4" s="125">
        <v>-244.8</v>
      </c>
      <c r="K4" s="124" t="s">
        <v>87</v>
      </c>
      <c r="L4" s="125" t="s">
        <v>11</v>
      </c>
    </row>
    <row r="5" spans="3:12">
      <c r="C5" s="118" t="s">
        <v>12</v>
      </c>
      <c r="D5" s="119">
        <v>3.59</v>
      </c>
      <c r="E5" s="3"/>
      <c r="F5" s="24"/>
      <c r="G5" s="25"/>
      <c r="H5" s="9"/>
      <c r="I5" s="124" t="s">
        <v>14</v>
      </c>
      <c r="J5" s="125">
        <v>-28.4</v>
      </c>
      <c r="K5" s="124" t="s">
        <v>87</v>
      </c>
      <c r="L5" s="125"/>
    </row>
    <row r="6" spans="3:12">
      <c r="C6" s="100" t="s">
        <v>15</v>
      </c>
      <c r="D6" s="193">
        <f>SUMIF(K3:K39,"No",J3:J39)</f>
        <v>0</v>
      </c>
      <c r="E6" s="3"/>
      <c r="F6" s="24" t="s">
        <v>148</v>
      </c>
      <c r="G6" s="25"/>
      <c r="I6" s="124" t="s">
        <v>17</v>
      </c>
      <c r="J6" s="125">
        <v>-35</v>
      </c>
      <c r="K6" s="124" t="s">
        <v>87</v>
      </c>
      <c r="L6" s="125"/>
    </row>
    <row r="7" spans="3:12">
      <c r="C7" s="120" t="s">
        <v>18</v>
      </c>
      <c r="D7" s="121">
        <f>D6+D5</f>
        <v>3.59</v>
      </c>
      <c r="E7" s="3" t="s">
        <v>19</v>
      </c>
      <c r="F7" s="24" t="s">
        <v>20</v>
      </c>
      <c r="G7" s="25">
        <v>170</v>
      </c>
      <c r="I7" s="124" t="s">
        <v>21</v>
      </c>
      <c r="J7" s="125">
        <v>-13.2</v>
      </c>
      <c r="K7" s="124" t="s">
        <v>87</v>
      </c>
      <c r="L7" s="125"/>
    </row>
    <row r="8" spans="3:12">
      <c r="C8" s="122" t="s">
        <v>22</v>
      </c>
      <c r="D8" s="194">
        <f>SUMIF(L3:L33,"f",J3:J33)</f>
        <v>-2088.3000000000002</v>
      </c>
      <c r="E8" s="30"/>
      <c r="F8" s="24" t="s">
        <v>149</v>
      </c>
      <c r="G8" s="25">
        <v>67</v>
      </c>
      <c r="I8" s="124" t="s">
        <v>24</v>
      </c>
      <c r="J8" s="125">
        <v>-217</v>
      </c>
      <c r="K8" s="124" t="s">
        <v>87</v>
      </c>
      <c r="L8" s="125"/>
    </row>
    <row r="9" spans="3:12">
      <c r="C9" s="31"/>
      <c r="E9" s="30"/>
      <c r="F9" s="24" t="s">
        <v>142</v>
      </c>
      <c r="G9" s="25">
        <v>243</v>
      </c>
      <c r="I9" s="124" t="s">
        <v>25</v>
      </c>
      <c r="J9" s="125">
        <v>-40</v>
      </c>
      <c r="K9" s="124" t="s">
        <v>87</v>
      </c>
      <c r="L9" s="125"/>
    </row>
    <row r="10" spans="3:12" ht="15" thickBot="1">
      <c r="C10" s="31"/>
      <c r="D10" s="111"/>
      <c r="E10"/>
      <c r="F10" s="24" t="s">
        <v>150</v>
      </c>
      <c r="G10" s="25">
        <v>72</v>
      </c>
      <c r="I10" s="124" t="s">
        <v>27</v>
      </c>
      <c r="J10" s="125">
        <v>-16.989999999999998</v>
      </c>
      <c r="K10" s="124" t="s">
        <v>87</v>
      </c>
      <c r="L10" s="125"/>
    </row>
    <row r="11" spans="3:12" ht="15" thickBot="1">
      <c r="C11"/>
      <c r="D11" s="84"/>
      <c r="E11"/>
      <c r="F11" s="26" t="s">
        <v>28</v>
      </c>
      <c r="G11" s="27">
        <f>SUM(G3:G10)</f>
        <v>732</v>
      </c>
      <c r="I11" s="124" t="s">
        <v>134</v>
      </c>
      <c r="J11" s="125">
        <v>-10</v>
      </c>
      <c r="K11" s="124" t="s">
        <v>87</v>
      </c>
      <c r="L11" s="125"/>
    </row>
    <row r="12" spans="3:12" thickBot="1">
      <c r="C12"/>
      <c r="D12"/>
      <c r="E12"/>
      <c r="I12" s="124" t="s">
        <v>30</v>
      </c>
      <c r="J12" s="125">
        <v>-10.99</v>
      </c>
      <c r="K12" s="124" t="s">
        <v>87</v>
      </c>
      <c r="L12" s="125"/>
    </row>
    <row r="13" spans="3:12" ht="15" thickBot="1">
      <c r="C13" s="115"/>
      <c r="D13" s="116"/>
      <c r="E13"/>
      <c r="F13" s="108"/>
      <c r="G13" s="109"/>
      <c r="I13" s="124" t="s">
        <v>32</v>
      </c>
      <c r="J13" s="126">
        <v>-31.67</v>
      </c>
      <c r="K13" s="124" t="s">
        <v>87</v>
      </c>
      <c r="L13" s="125"/>
    </row>
    <row r="14" spans="3:12" ht="14">
      <c r="C14"/>
      <c r="D14"/>
      <c r="E14"/>
      <c r="F14"/>
      <c r="I14" s="124" t="s">
        <v>33</v>
      </c>
      <c r="J14" s="125">
        <v>-204</v>
      </c>
      <c r="K14" s="124" t="s">
        <v>87</v>
      </c>
      <c r="L14" s="125"/>
    </row>
    <row r="15" spans="3:12">
      <c r="C15" s="31"/>
      <c r="E15"/>
      <c r="F15" s="77"/>
      <c r="I15" s="124" t="s">
        <v>34</v>
      </c>
      <c r="J15" s="125">
        <v>-13</v>
      </c>
      <c r="K15" s="124" t="s">
        <v>87</v>
      </c>
      <c r="L15" s="125"/>
    </row>
    <row r="16" spans="3:12">
      <c r="C16" s="31"/>
      <c r="E16"/>
      <c r="F16"/>
      <c r="I16" s="124" t="s">
        <v>36</v>
      </c>
      <c r="J16" s="125">
        <v>-6.25</v>
      </c>
      <c r="K16" s="124" t="s">
        <v>87</v>
      </c>
      <c r="L16" s="125"/>
    </row>
    <row r="17" spans="1:13">
      <c r="C17" s="31"/>
      <c r="E17"/>
      <c r="F17"/>
      <c r="I17" s="124" t="s">
        <v>34</v>
      </c>
      <c r="J17" s="125">
        <v>-28</v>
      </c>
      <c r="K17" s="124" t="s">
        <v>87</v>
      </c>
      <c r="L17" s="125"/>
    </row>
    <row r="18" spans="1:13">
      <c r="C18" s="31"/>
      <c r="E18"/>
      <c r="F18" t="s">
        <v>67</v>
      </c>
      <c r="I18" s="124" t="s">
        <v>39</v>
      </c>
      <c r="J18" s="125">
        <v>-6</v>
      </c>
      <c r="K18" s="124" t="s">
        <v>87</v>
      </c>
      <c r="L18" s="125"/>
    </row>
    <row r="19" spans="1:13" ht="14">
      <c r="C19" s="88" t="s">
        <v>7</v>
      </c>
      <c r="D19"/>
      <c r="E19"/>
      <c r="F19"/>
      <c r="I19" s="124" t="s">
        <v>42</v>
      </c>
      <c r="J19" s="125">
        <v>-938</v>
      </c>
      <c r="K19" s="124" t="s">
        <v>87</v>
      </c>
      <c r="L19" s="125" t="s">
        <v>11</v>
      </c>
    </row>
    <row r="20" spans="1:13" ht="14">
      <c r="C20" s="86" t="s">
        <v>35</v>
      </c>
      <c r="D20" s="87">
        <v>167660.10999999999</v>
      </c>
      <c r="E20"/>
      <c r="F20"/>
      <c r="I20" s="124" t="s">
        <v>121</v>
      </c>
      <c r="J20" s="125">
        <v>-750</v>
      </c>
      <c r="K20" s="124" t="s">
        <v>87</v>
      </c>
      <c r="L20" s="125" t="s">
        <v>11</v>
      </c>
    </row>
    <row r="21" spans="1:13" ht="14">
      <c r="C21" s="86" t="s">
        <v>37</v>
      </c>
      <c r="D21" s="87">
        <v>87559.93</v>
      </c>
      <c r="E21"/>
      <c r="F21"/>
      <c r="I21" s="124" t="s">
        <v>47</v>
      </c>
      <c r="J21" s="125">
        <v>-12.5</v>
      </c>
      <c r="K21" s="124" t="s">
        <v>87</v>
      </c>
      <c r="L21" s="125" t="s">
        <v>11</v>
      </c>
    </row>
    <row r="22" spans="1:13" ht="14">
      <c r="C22" s="89" t="s">
        <v>38</v>
      </c>
      <c r="D22" s="90">
        <f>SUM(D20:D21)</f>
        <v>255220.03999999998</v>
      </c>
      <c r="E22"/>
      <c r="F22"/>
      <c r="I22" s="124" t="s">
        <v>151</v>
      </c>
      <c r="J22" s="125">
        <v>-65</v>
      </c>
      <c r="K22" s="124" t="s">
        <v>87</v>
      </c>
      <c r="L22" s="125"/>
    </row>
    <row r="23" spans="1:13">
      <c r="C23" s="92" t="s">
        <v>40</v>
      </c>
      <c r="D23" s="93">
        <f>D24*0.2</f>
        <v>89000</v>
      </c>
      <c r="E23"/>
      <c r="F23" t="s">
        <v>73</v>
      </c>
      <c r="I23" s="124" t="s">
        <v>49</v>
      </c>
      <c r="J23" s="125">
        <v>-800</v>
      </c>
      <c r="K23" s="124" t="s">
        <v>87</v>
      </c>
      <c r="L23" s="125"/>
    </row>
    <row r="24" spans="1:13" ht="14">
      <c r="C24" s="86" t="s">
        <v>43</v>
      </c>
      <c r="D24" s="87">
        <v>445000</v>
      </c>
      <c r="E24"/>
      <c r="F24"/>
      <c r="I24" s="124" t="s">
        <v>117</v>
      </c>
      <c r="J24" s="125">
        <v>-30</v>
      </c>
      <c r="K24" s="124" t="s">
        <v>87</v>
      </c>
      <c r="L24" s="125" t="s">
        <v>11</v>
      </c>
    </row>
    <row r="25" spans="1:13">
      <c r="C25" s="91" t="s">
        <v>46</v>
      </c>
      <c r="D25" s="94">
        <f>SUM(D22:D23)-D24</f>
        <v>-100779.96000000002</v>
      </c>
      <c r="E25" s="32"/>
      <c r="I25" s="124" t="s">
        <v>52</v>
      </c>
      <c r="J25" s="125">
        <v>-7.4</v>
      </c>
      <c r="K25" s="124" t="s">
        <v>87</v>
      </c>
      <c r="L25" s="125"/>
    </row>
    <row r="26" spans="1:13">
      <c r="C26"/>
      <c r="D26"/>
      <c r="E26" s="32"/>
      <c r="I26" s="124" t="s">
        <v>102</v>
      </c>
      <c r="J26" s="125">
        <v>-10</v>
      </c>
      <c r="K26" s="124" t="s">
        <v>87</v>
      </c>
      <c r="L26" s="125"/>
    </row>
    <row r="27" spans="1:13">
      <c r="C27" s="31"/>
      <c r="E27" s="32"/>
      <c r="I27" s="124" t="s">
        <v>55</v>
      </c>
      <c r="J27" s="125">
        <v>-33</v>
      </c>
      <c r="K27" s="124" t="s">
        <v>87</v>
      </c>
      <c r="L27" s="125"/>
    </row>
    <row r="28" spans="1:13">
      <c r="C28" s="31"/>
      <c r="E28" s="32"/>
      <c r="I28" s="124" t="s">
        <v>56</v>
      </c>
      <c r="J28" s="125">
        <v>-80</v>
      </c>
      <c r="K28" s="124" t="s">
        <v>87</v>
      </c>
      <c r="L28" s="125" t="s">
        <v>11</v>
      </c>
    </row>
    <row r="29" spans="1:13">
      <c r="C29" s="31"/>
      <c r="D29" s="98"/>
      <c r="E29" s="32"/>
      <c r="I29" s="124" t="s">
        <v>152</v>
      </c>
      <c r="J29" s="125">
        <v>-224</v>
      </c>
      <c r="K29" s="124" t="s">
        <v>87</v>
      </c>
      <c r="L29" s="125"/>
      <c r="M29" s="15"/>
    </row>
    <row r="30" spans="1:13">
      <c r="C30" s="112"/>
      <c r="D30" s="113"/>
      <c r="E30" s="32"/>
      <c r="I30" s="124" t="s">
        <v>57</v>
      </c>
      <c r="J30" s="125">
        <v>-25</v>
      </c>
      <c r="K30" s="124" t="s">
        <v>87</v>
      </c>
      <c r="L30" s="125" t="s">
        <v>11</v>
      </c>
    </row>
    <row r="31" spans="1:13">
      <c r="A31" s="14"/>
      <c r="B31" s="14"/>
      <c r="C31" s="31"/>
      <c r="D31" s="113"/>
      <c r="E31" s="32"/>
      <c r="I31" s="124" t="s">
        <v>79</v>
      </c>
      <c r="J31" s="125">
        <v>-11.7</v>
      </c>
      <c r="K31" s="124" t="s">
        <v>87</v>
      </c>
      <c r="L31" s="125"/>
    </row>
    <row r="32" spans="1:13">
      <c r="C32" s="31"/>
      <c r="D32" s="113"/>
      <c r="E32" s="32"/>
      <c r="H32" s="30"/>
      <c r="I32" s="124" t="s">
        <v>82</v>
      </c>
      <c r="J32" s="125">
        <v>-6</v>
      </c>
      <c r="K32" s="124" t="s">
        <v>87</v>
      </c>
      <c r="L32" s="125"/>
    </row>
    <row r="33" spans="5:12">
      <c r="E33" s="32" t="s">
        <v>81</v>
      </c>
      <c r="H33" s="30"/>
      <c r="I33" s="124" t="s">
        <v>128</v>
      </c>
      <c r="J33" s="125">
        <v>-8</v>
      </c>
      <c r="K33" s="124" t="s">
        <v>87</v>
      </c>
      <c r="L33" s="125" t="s">
        <v>11</v>
      </c>
    </row>
    <row r="34" spans="5:12">
      <c r="E34" s="32"/>
      <c r="H34" s="30"/>
      <c r="I34" s="124" t="s">
        <v>114</v>
      </c>
      <c r="J34" s="125">
        <v>-6</v>
      </c>
      <c r="K34" s="124" t="s">
        <v>87</v>
      </c>
      <c r="L34" s="17"/>
    </row>
    <row r="35" spans="5:12">
      <c r="E35" s="32"/>
      <c r="H35" s="30"/>
      <c r="I35" s="124" t="s">
        <v>148</v>
      </c>
      <c r="J35" s="125">
        <v>-190</v>
      </c>
      <c r="K35" s="124" t="s">
        <v>87</v>
      </c>
      <c r="L35" s="17"/>
    </row>
    <row r="36" spans="5:12">
      <c r="E36" s="32"/>
      <c r="H36" s="30"/>
      <c r="I36" s="17" t="s">
        <v>145</v>
      </c>
      <c r="J36" s="125">
        <v>-15</v>
      </c>
      <c r="K36" s="124" t="s">
        <v>87</v>
      </c>
      <c r="L36" s="17"/>
    </row>
    <row r="37" spans="5:12">
      <c r="E37" s="32"/>
      <c r="H37" s="30"/>
      <c r="I37" s="17" t="s">
        <v>85</v>
      </c>
      <c r="J37" s="125">
        <v>-50</v>
      </c>
      <c r="K37" s="124" t="s">
        <v>87</v>
      </c>
      <c r="L37" s="17"/>
    </row>
    <row r="38" spans="5:12">
      <c r="E38" s="32"/>
      <c r="H38" s="30"/>
      <c r="I38" s="17" t="s">
        <v>146</v>
      </c>
      <c r="J38" s="125">
        <v>-18.690000000000001</v>
      </c>
      <c r="K38" s="124" t="s">
        <v>87</v>
      </c>
      <c r="L38" s="17"/>
    </row>
    <row r="39" spans="5:12">
      <c r="E39" s="32"/>
      <c r="H39" s="30"/>
      <c r="I39" s="17" t="s">
        <v>153</v>
      </c>
      <c r="J39" s="125">
        <v>-72</v>
      </c>
      <c r="K39" s="124" t="s">
        <v>87</v>
      </c>
      <c r="L39" s="17"/>
    </row>
    <row r="40" spans="5:12">
      <c r="E40" s="32"/>
      <c r="H40" s="30"/>
    </row>
    <row r="41" spans="5:12">
      <c r="E41" s="32"/>
      <c r="H41" s="30"/>
    </row>
    <row r="42" spans="5:12">
      <c r="E42" s="32"/>
      <c r="H42" s="30"/>
    </row>
    <row r="43" spans="5:12">
      <c r="E43" s="32"/>
      <c r="H43" s="30"/>
    </row>
    <row r="44" spans="5:12">
      <c r="E44" s="32"/>
      <c r="H44" s="30"/>
    </row>
    <row r="45" spans="5:12">
      <c r="E45" s="32"/>
      <c r="H45" s="30"/>
    </row>
    <row r="46" spans="5:12">
      <c r="E46" s="32"/>
      <c r="H46" s="30"/>
    </row>
    <row r="47" spans="5:12">
      <c r="E47" s="32"/>
      <c r="H47" s="30"/>
    </row>
    <row r="48" spans="5:12">
      <c r="E48" s="32"/>
      <c r="H48" s="30"/>
    </row>
  </sheetData>
  <autoFilter ref="I2:L33" xr:uid="{00000000-0009-0000-0000-00000F000000}"/>
  <conditionalFormatting sqref="I3:L3 I4:J12 L4:L32 K4:K39 I13 I14:J32 I34:J35">
    <cfRule type="expression" dxfId="77" priority="4">
      <formula>$A$3</formula>
    </cfRule>
  </conditionalFormatting>
  <conditionalFormatting sqref="J36:J39">
    <cfRule type="expression" dxfId="76" priority="1">
      <formula>$A$3</formula>
    </cfRule>
  </conditionalFormatting>
  <conditionalFormatting sqref="L3:L3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{34F5EA8A-2F01-449C-8B35-1B18F1CB85CA}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F5EA8A-2F01-449C-8B35-1B18F1CB85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L3:L39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S48"/>
  <sheetViews>
    <sheetView zoomScale="220" zoomScaleNormal="220" workbookViewId="0">
      <selection activeCell="D5" sqref="D5"/>
    </sheetView>
  </sheetViews>
  <sheetFormatPr defaultColWidth="0" defaultRowHeight="14.5"/>
  <cols>
    <col min="1" max="2" width="1.08203125" style="3" customWidth="1"/>
    <col min="3" max="3" width="13.08203125" style="1" customWidth="1"/>
    <col min="4" max="4" width="13" style="3" customWidth="1"/>
    <col min="5" max="5" width="1.08203125" style="2" customWidth="1"/>
    <col min="6" max="6" width="17" style="3" bestFit="1" customWidth="1"/>
    <col min="7" max="7" width="10.5" style="3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6.5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17" t="s">
        <v>0</v>
      </c>
      <c r="D2" s="31"/>
      <c r="E2" s="3"/>
      <c r="F2" s="106" t="s">
        <v>1</v>
      </c>
      <c r="G2" s="31"/>
      <c r="I2" s="120" t="s">
        <v>2</v>
      </c>
      <c r="J2" s="123" t="s">
        <v>3</v>
      </c>
      <c r="K2" s="120" t="s">
        <v>4</v>
      </c>
      <c r="L2" s="123" t="s">
        <v>5</v>
      </c>
    </row>
    <row r="3" spans="3:12">
      <c r="C3" s="118" t="s">
        <v>6</v>
      </c>
      <c r="D3" s="119">
        <v>4830</v>
      </c>
      <c r="E3" s="3"/>
      <c r="F3" s="7" t="s">
        <v>1</v>
      </c>
      <c r="G3" s="4">
        <v>180</v>
      </c>
      <c r="I3" s="124" t="s">
        <v>7</v>
      </c>
      <c r="J3" s="125">
        <v>-897</v>
      </c>
      <c r="K3" s="124" t="s">
        <v>87</v>
      </c>
      <c r="L3" s="125"/>
    </row>
    <row r="4" spans="3:12">
      <c r="C4" s="100" t="s">
        <v>9</v>
      </c>
      <c r="D4" s="192">
        <f>SUMIF(K3:K29,"Yes*",J3:J29)</f>
        <v>-4400.2000000000007</v>
      </c>
      <c r="E4" s="3"/>
      <c r="F4" s="6" t="s">
        <v>98</v>
      </c>
      <c r="G4" s="5"/>
      <c r="I4" s="124" t="s">
        <v>10</v>
      </c>
      <c r="J4" s="125">
        <v>-244.8</v>
      </c>
      <c r="K4" s="124" t="s">
        <v>87</v>
      </c>
      <c r="L4" s="125" t="s">
        <v>11</v>
      </c>
    </row>
    <row r="5" spans="3:12">
      <c r="C5" s="118" t="s">
        <v>12</v>
      </c>
      <c r="D5" s="119">
        <v>9.68</v>
      </c>
      <c r="E5" s="3"/>
      <c r="F5" s="24"/>
      <c r="G5" s="25"/>
      <c r="H5" s="9"/>
      <c r="I5" s="124" t="s">
        <v>14</v>
      </c>
      <c r="J5" s="125">
        <v>-28.4</v>
      </c>
      <c r="K5" s="124" t="s">
        <v>87</v>
      </c>
      <c r="L5" s="125"/>
    </row>
    <row r="6" spans="3:12">
      <c r="C6" s="100" t="s">
        <v>15</v>
      </c>
      <c r="D6" s="193">
        <f>SUMIF(K3:K39,"No",J3:J39)</f>
        <v>-9</v>
      </c>
      <c r="E6" s="3"/>
      <c r="F6" s="24" t="s">
        <v>154</v>
      </c>
      <c r="G6" s="25">
        <v>104</v>
      </c>
      <c r="I6" s="124" t="s">
        <v>17</v>
      </c>
      <c r="J6" s="125">
        <v>-35</v>
      </c>
      <c r="K6" s="124" t="s">
        <v>87</v>
      </c>
      <c r="L6" s="125"/>
    </row>
    <row r="7" spans="3:12">
      <c r="C7" s="120" t="s">
        <v>18</v>
      </c>
      <c r="D7" s="121">
        <f>D6+D5</f>
        <v>0.67999999999999972</v>
      </c>
      <c r="E7" s="3" t="s">
        <v>19</v>
      </c>
      <c r="F7" s="24" t="s">
        <v>20</v>
      </c>
      <c r="G7" s="25">
        <v>430</v>
      </c>
      <c r="I7" s="124" t="s">
        <v>21</v>
      </c>
      <c r="J7" s="125">
        <v>-13.2</v>
      </c>
      <c r="K7" s="124" t="s">
        <v>87</v>
      </c>
      <c r="L7" s="125"/>
    </row>
    <row r="8" spans="3:12">
      <c r="C8" s="122" t="s">
        <v>22</v>
      </c>
      <c r="D8" s="194">
        <f>SUMIF(L3:L33,"f",J3:J33)</f>
        <v>-1751.3</v>
      </c>
      <c r="E8" s="30"/>
      <c r="F8" s="24" t="s">
        <v>155</v>
      </c>
      <c r="G8" s="25"/>
      <c r="I8" s="124" t="s">
        <v>24</v>
      </c>
      <c r="J8" s="125">
        <v>-217</v>
      </c>
      <c r="K8" s="124" t="s">
        <v>87</v>
      </c>
      <c r="L8" s="125"/>
    </row>
    <row r="9" spans="3:12">
      <c r="C9" s="31"/>
      <c r="E9" s="30"/>
      <c r="F9" s="24" t="s">
        <v>142</v>
      </c>
      <c r="G9" s="25">
        <v>242</v>
      </c>
      <c r="I9" s="124" t="s">
        <v>25</v>
      </c>
      <c r="J9" s="125">
        <v>-40</v>
      </c>
      <c r="K9" s="124" t="s">
        <v>87</v>
      </c>
      <c r="L9" s="125"/>
    </row>
    <row r="10" spans="3:12" ht="15" thickBot="1">
      <c r="C10" s="31"/>
      <c r="D10" s="111"/>
      <c r="E10"/>
      <c r="F10" s="24" t="s">
        <v>156</v>
      </c>
      <c r="G10" s="25"/>
      <c r="I10" s="124" t="s">
        <v>27</v>
      </c>
      <c r="J10" s="125">
        <v>-16.989999999999998</v>
      </c>
      <c r="K10" s="124" t="s">
        <v>87</v>
      </c>
      <c r="L10" s="125"/>
    </row>
    <row r="11" spans="3:12" ht="15" thickBot="1">
      <c r="C11"/>
      <c r="D11" s="84"/>
      <c r="E11"/>
      <c r="F11" s="26" t="s">
        <v>28</v>
      </c>
      <c r="G11" s="27">
        <f>SUM(G3:G10)</f>
        <v>956</v>
      </c>
      <c r="I11" s="124" t="s">
        <v>134</v>
      </c>
      <c r="J11" s="125">
        <v>-10</v>
      </c>
      <c r="K11" s="124" t="s">
        <v>87</v>
      </c>
      <c r="L11" s="125"/>
    </row>
    <row r="12" spans="3:12" thickBot="1">
      <c r="C12"/>
      <c r="D12"/>
      <c r="E12"/>
      <c r="I12" s="124" t="s">
        <v>30</v>
      </c>
      <c r="J12" s="125">
        <v>-10.99</v>
      </c>
      <c r="K12" s="124" t="s">
        <v>87</v>
      </c>
      <c r="L12" s="125"/>
    </row>
    <row r="13" spans="3:12" ht="15" thickBot="1">
      <c r="C13" s="115"/>
      <c r="D13" s="116"/>
      <c r="E13"/>
      <c r="F13" s="108"/>
      <c r="G13" s="109"/>
      <c r="I13" s="124" t="s">
        <v>32</v>
      </c>
      <c r="J13" s="126">
        <v>-31.67</v>
      </c>
      <c r="K13" s="124" t="s">
        <v>87</v>
      </c>
      <c r="L13" s="125"/>
    </row>
    <row r="14" spans="3:12" ht="14">
      <c r="C14"/>
      <c r="D14"/>
      <c r="E14"/>
      <c r="F14"/>
      <c r="I14" s="124" t="s">
        <v>33</v>
      </c>
      <c r="J14" s="125">
        <v>-204</v>
      </c>
      <c r="K14" s="124" t="s">
        <v>87</v>
      </c>
      <c r="L14" s="125"/>
    </row>
    <row r="15" spans="3:12">
      <c r="C15" s="31"/>
      <c r="E15"/>
      <c r="F15" s="77"/>
      <c r="I15" s="124" t="s">
        <v>34</v>
      </c>
      <c r="J15" s="125">
        <v>-13</v>
      </c>
      <c r="K15" s="124" t="s">
        <v>87</v>
      </c>
      <c r="L15" s="125"/>
    </row>
    <row r="16" spans="3:12">
      <c r="C16" s="31"/>
      <c r="E16"/>
      <c r="F16"/>
      <c r="I16" s="124" t="s">
        <v>36</v>
      </c>
      <c r="J16" s="125">
        <v>-6.25</v>
      </c>
      <c r="K16" s="124" t="s">
        <v>87</v>
      </c>
      <c r="L16" s="125"/>
    </row>
    <row r="17" spans="1:13">
      <c r="C17" s="31"/>
      <c r="E17"/>
      <c r="F17"/>
      <c r="I17" s="124" t="s">
        <v>34</v>
      </c>
      <c r="J17" s="125">
        <v>-28</v>
      </c>
      <c r="K17" s="124" t="s">
        <v>87</v>
      </c>
      <c r="L17" s="125"/>
    </row>
    <row r="18" spans="1:13">
      <c r="C18" s="31"/>
      <c r="E18"/>
      <c r="F18" t="s">
        <v>67</v>
      </c>
      <c r="I18" s="124" t="s">
        <v>39</v>
      </c>
      <c r="J18" s="125">
        <v>-3</v>
      </c>
      <c r="K18" s="124" t="s">
        <v>8</v>
      </c>
      <c r="L18" s="125"/>
    </row>
    <row r="19" spans="1:13" ht="14">
      <c r="C19" s="88" t="s">
        <v>7</v>
      </c>
      <c r="D19"/>
      <c r="E19"/>
      <c r="F19"/>
      <c r="I19" s="124" t="s">
        <v>42</v>
      </c>
      <c r="J19" s="125">
        <v>-520</v>
      </c>
      <c r="K19" s="124" t="s">
        <v>87</v>
      </c>
      <c r="L19" s="125" t="s">
        <v>11</v>
      </c>
    </row>
    <row r="20" spans="1:13" ht="14">
      <c r="C20" s="86" t="s">
        <v>35</v>
      </c>
      <c r="D20" s="87">
        <v>167660.10999999999</v>
      </c>
      <c r="E20"/>
      <c r="F20"/>
      <c r="I20" s="124" t="s">
        <v>121</v>
      </c>
      <c r="J20" s="125">
        <v>-835</v>
      </c>
      <c r="K20" s="124" t="s">
        <v>87</v>
      </c>
      <c r="L20" s="125" t="s">
        <v>11</v>
      </c>
    </row>
    <row r="21" spans="1:13" ht="14">
      <c r="C21" s="86" t="s">
        <v>37</v>
      </c>
      <c r="D21" s="87">
        <v>87559.93</v>
      </c>
      <c r="E21"/>
      <c r="F21"/>
      <c r="I21" s="124" t="s">
        <v>47</v>
      </c>
      <c r="J21" s="125">
        <v>-12.5</v>
      </c>
      <c r="K21" s="124" t="s">
        <v>87</v>
      </c>
      <c r="L21" s="125" t="s">
        <v>11</v>
      </c>
    </row>
    <row r="22" spans="1:13" ht="14">
      <c r="C22" s="89" t="s">
        <v>38</v>
      </c>
      <c r="D22" s="90">
        <f>SUM(D20:D21)</f>
        <v>255220.03999999998</v>
      </c>
      <c r="E22"/>
      <c r="F22"/>
      <c r="I22" s="124" t="s">
        <v>120</v>
      </c>
      <c r="J22" s="125">
        <v>-60</v>
      </c>
      <c r="K22" s="124" t="s">
        <v>87</v>
      </c>
      <c r="L22" s="125"/>
    </row>
    <row r="23" spans="1:13">
      <c r="C23" s="92" t="s">
        <v>40</v>
      </c>
      <c r="D23" s="93">
        <f>D24*0.2</f>
        <v>94000</v>
      </c>
      <c r="E23"/>
      <c r="F23" t="s">
        <v>73</v>
      </c>
      <c r="I23" s="124" t="s">
        <v>49</v>
      </c>
      <c r="J23" s="125">
        <v>-800</v>
      </c>
      <c r="K23" s="124" t="s">
        <v>87</v>
      </c>
      <c r="L23" s="125"/>
    </row>
    <row r="24" spans="1:13" ht="14">
      <c r="C24" s="86" t="s">
        <v>43</v>
      </c>
      <c r="D24" s="87">
        <v>470000</v>
      </c>
      <c r="E24"/>
      <c r="F24"/>
      <c r="I24" s="124" t="s">
        <v>117</v>
      </c>
      <c r="J24" s="125">
        <v>-26</v>
      </c>
      <c r="K24" s="124" t="s">
        <v>87</v>
      </c>
      <c r="L24" s="125" t="s">
        <v>11</v>
      </c>
    </row>
    <row r="25" spans="1:13">
      <c r="C25" s="91" t="s">
        <v>46</v>
      </c>
      <c r="D25" s="94">
        <f>SUM(D22:D23)-D24</f>
        <v>-120779.96000000002</v>
      </c>
      <c r="E25" s="32"/>
      <c r="I25" s="124" t="s">
        <v>52</v>
      </c>
      <c r="J25" s="125">
        <v>-7.4</v>
      </c>
      <c r="K25" s="124" t="s">
        <v>87</v>
      </c>
      <c r="L25" s="125"/>
    </row>
    <row r="26" spans="1:13">
      <c r="C26"/>
      <c r="D26"/>
      <c r="E26" s="32"/>
      <c r="I26" s="124" t="s">
        <v>102</v>
      </c>
      <c r="J26" s="125">
        <v>-10</v>
      </c>
      <c r="K26" s="124" t="s">
        <v>87</v>
      </c>
      <c r="L26" s="125"/>
    </row>
    <row r="27" spans="1:13">
      <c r="C27" s="31"/>
      <c r="E27" s="32"/>
      <c r="I27" s="124" t="s">
        <v>55</v>
      </c>
      <c r="J27" s="125">
        <v>-33</v>
      </c>
      <c r="K27" s="124" t="s">
        <v>87</v>
      </c>
      <c r="L27" s="125"/>
    </row>
    <row r="28" spans="1:13">
      <c r="C28" s="31"/>
      <c r="E28" s="32"/>
      <c r="I28" s="124" t="s">
        <v>56</v>
      </c>
      <c r="J28" s="125">
        <v>-80</v>
      </c>
      <c r="K28" s="124" t="s">
        <v>87</v>
      </c>
      <c r="L28" s="125" t="s">
        <v>11</v>
      </c>
    </row>
    <row r="29" spans="1:13">
      <c r="C29" s="31"/>
      <c r="D29" s="98"/>
      <c r="E29" s="32"/>
      <c r="I29" s="124" t="s">
        <v>63</v>
      </c>
      <c r="J29" s="125">
        <v>-220</v>
      </c>
      <c r="K29" s="124" t="s">
        <v>87</v>
      </c>
      <c r="L29" s="125"/>
      <c r="M29" s="15"/>
    </row>
    <row r="30" spans="1:13">
      <c r="C30" s="112"/>
      <c r="D30" s="113"/>
      <c r="E30" s="32"/>
      <c r="I30" s="124" t="s">
        <v>57</v>
      </c>
      <c r="J30" s="125">
        <v>-25</v>
      </c>
      <c r="K30" s="124" t="s">
        <v>87</v>
      </c>
      <c r="L30" s="125" t="s">
        <v>11</v>
      </c>
    </row>
    <row r="31" spans="1:13">
      <c r="A31" s="14"/>
      <c r="B31" s="14"/>
      <c r="C31" s="31"/>
      <c r="D31" s="113"/>
      <c r="E31" s="32"/>
      <c r="I31" s="124" t="s">
        <v>157</v>
      </c>
      <c r="J31" s="125">
        <v>-11.7</v>
      </c>
      <c r="K31" s="124" t="s">
        <v>87</v>
      </c>
      <c r="L31" s="125"/>
    </row>
    <row r="32" spans="1:13">
      <c r="C32" s="31"/>
      <c r="D32" s="113"/>
      <c r="E32" s="32"/>
      <c r="H32" s="30"/>
      <c r="I32" s="124" t="s">
        <v>82</v>
      </c>
      <c r="J32" s="125">
        <v>-297</v>
      </c>
      <c r="K32" s="124" t="s">
        <v>87</v>
      </c>
      <c r="L32" s="125"/>
    </row>
    <row r="33" spans="5:12">
      <c r="E33" s="32" t="s">
        <v>81</v>
      </c>
      <c r="H33" s="30"/>
      <c r="I33" s="124" t="s">
        <v>128</v>
      </c>
      <c r="J33" s="125">
        <v>-8</v>
      </c>
      <c r="K33" s="124" t="s">
        <v>87</v>
      </c>
      <c r="L33" s="125" t="s">
        <v>11</v>
      </c>
    </row>
    <row r="34" spans="5:12">
      <c r="E34" s="32"/>
      <c r="H34" s="30"/>
      <c r="I34" s="124" t="s">
        <v>114</v>
      </c>
      <c r="J34" s="125">
        <v>-6</v>
      </c>
      <c r="K34" s="124" t="s">
        <v>8</v>
      </c>
      <c r="L34" s="17"/>
    </row>
    <row r="35" spans="5:12">
      <c r="E35" s="32"/>
      <c r="H35" s="30"/>
      <c r="I35" s="124" t="s">
        <v>158</v>
      </c>
      <c r="J35" s="125">
        <v>-25</v>
      </c>
      <c r="K35" s="124" t="s">
        <v>87</v>
      </c>
      <c r="L35" s="17"/>
    </row>
    <row r="36" spans="5:12">
      <c r="E36" s="32"/>
      <c r="H36" s="30"/>
      <c r="I36" s="17" t="s">
        <v>159</v>
      </c>
      <c r="J36" s="125">
        <v>-100</v>
      </c>
      <c r="K36" s="124" t="s">
        <v>87</v>
      </c>
      <c r="L36" s="17"/>
    </row>
    <row r="37" spans="5:12">
      <c r="E37" s="32"/>
      <c r="H37" s="30"/>
      <c r="I37" s="17"/>
      <c r="J37" s="17"/>
      <c r="K37" s="124" t="s">
        <v>8</v>
      </c>
      <c r="L37" s="17"/>
    </row>
    <row r="38" spans="5:12">
      <c r="E38" s="32"/>
      <c r="H38" s="30"/>
      <c r="I38" s="17"/>
      <c r="J38" s="17"/>
      <c r="K38" s="124" t="s">
        <v>8</v>
      </c>
      <c r="L38" s="17"/>
    </row>
    <row r="39" spans="5:12">
      <c r="E39" s="32"/>
      <c r="H39" s="30"/>
      <c r="I39" s="17"/>
      <c r="J39" s="17"/>
      <c r="K39" s="124" t="s">
        <v>8</v>
      </c>
      <c r="L39" s="17"/>
    </row>
    <row r="40" spans="5:12">
      <c r="E40" s="32"/>
      <c r="H40" s="30"/>
    </row>
    <row r="41" spans="5:12">
      <c r="E41" s="32"/>
      <c r="H41" s="30"/>
    </row>
    <row r="42" spans="5:12">
      <c r="E42" s="32"/>
      <c r="H42" s="30"/>
    </row>
    <row r="43" spans="5:12">
      <c r="E43" s="32"/>
      <c r="H43" s="30"/>
    </row>
    <row r="44" spans="5:12">
      <c r="E44" s="32"/>
      <c r="H44" s="30"/>
    </row>
    <row r="45" spans="5:12">
      <c r="E45" s="32"/>
      <c r="H45" s="30"/>
    </row>
    <row r="46" spans="5:12">
      <c r="E46" s="32"/>
      <c r="H46" s="30"/>
    </row>
    <row r="47" spans="5:12">
      <c r="E47" s="32"/>
      <c r="H47" s="30"/>
    </row>
    <row r="48" spans="5:12">
      <c r="E48" s="32"/>
      <c r="H48" s="30"/>
    </row>
  </sheetData>
  <autoFilter ref="I2:L33" xr:uid="{00000000-0009-0000-0000-000010000000}"/>
  <conditionalFormatting sqref="I3:L3 I4:J12 L4:L32 K4:K39 I13 I14:J32 I34:J35">
    <cfRule type="expression" dxfId="75" priority="3">
      <formula>$A$3</formula>
    </cfRule>
  </conditionalFormatting>
  <conditionalFormatting sqref="J36">
    <cfRule type="expression" dxfId="74" priority="2">
      <formula>$A$3</formula>
    </cfRule>
  </conditionalFormatting>
  <conditionalFormatting sqref="L3:L3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{F85525BA-5101-4091-9331-5019FEE1518A}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5525BA-5101-4091-9331-5019FEE15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L3:L39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S48"/>
  <sheetViews>
    <sheetView zoomScale="205" zoomScaleNormal="205" workbookViewId="0">
      <selection activeCell="D5" sqref="D5"/>
    </sheetView>
  </sheetViews>
  <sheetFormatPr defaultColWidth="0" defaultRowHeight="14.5"/>
  <cols>
    <col min="1" max="2" width="1.08203125" style="3" customWidth="1"/>
    <col min="3" max="3" width="13.08203125" style="1" customWidth="1"/>
    <col min="4" max="4" width="11.5" style="3" customWidth="1"/>
    <col min="5" max="5" width="1.08203125" style="2" customWidth="1"/>
    <col min="6" max="6" width="17" style="3" bestFit="1" customWidth="1"/>
    <col min="7" max="7" width="10.5" style="3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17" t="s">
        <v>0</v>
      </c>
      <c r="D2" s="31"/>
      <c r="E2" s="3"/>
      <c r="F2" s="106" t="s">
        <v>1</v>
      </c>
      <c r="G2" s="31"/>
      <c r="I2" s="120" t="s">
        <v>2</v>
      </c>
      <c r="J2" s="123" t="s">
        <v>3</v>
      </c>
      <c r="K2" s="120" t="s">
        <v>4</v>
      </c>
      <c r="L2" s="123" t="s">
        <v>5</v>
      </c>
    </row>
    <row r="3" spans="3:12">
      <c r="C3" s="118" t="s">
        <v>6</v>
      </c>
      <c r="D3" s="119">
        <v>4475.6899999999996</v>
      </c>
      <c r="E3" s="3"/>
      <c r="F3" s="7" t="s">
        <v>1</v>
      </c>
      <c r="G3" s="4">
        <v>180</v>
      </c>
      <c r="I3" s="124" t="s">
        <v>7</v>
      </c>
      <c r="J3" s="125">
        <v>-897</v>
      </c>
      <c r="K3" s="124" t="s">
        <v>87</v>
      </c>
      <c r="L3" s="125"/>
    </row>
    <row r="4" spans="3:12">
      <c r="C4" s="100" t="s">
        <v>9</v>
      </c>
      <c r="D4" s="192">
        <f>SUMIF(K3:K29,"Yes*",J3:J29)</f>
        <v>-4339.2000000000007</v>
      </c>
      <c r="E4" s="3"/>
      <c r="F4" s="6"/>
      <c r="G4" s="5"/>
      <c r="I4" s="124" t="s">
        <v>10</v>
      </c>
      <c r="J4" s="125">
        <v>-244.8</v>
      </c>
      <c r="K4" s="124" t="s">
        <v>87</v>
      </c>
      <c r="L4" s="125" t="s">
        <v>11</v>
      </c>
    </row>
    <row r="5" spans="3:12">
      <c r="C5" s="118" t="s">
        <v>12</v>
      </c>
      <c r="D5" s="119">
        <v>145</v>
      </c>
      <c r="E5" s="3"/>
      <c r="F5" s="24"/>
      <c r="G5" s="25"/>
      <c r="H5" s="9"/>
      <c r="I5" s="124" t="s">
        <v>14</v>
      </c>
      <c r="J5" s="125">
        <v>-28.4</v>
      </c>
      <c r="K5" s="124" t="s">
        <v>87</v>
      </c>
      <c r="L5" s="125"/>
    </row>
    <row r="6" spans="3:12">
      <c r="C6" s="100" t="s">
        <v>15</v>
      </c>
      <c r="D6" s="193">
        <f>SUMIF(K3:K39,"No",J3:J39)</f>
        <v>-120</v>
      </c>
      <c r="E6" s="3"/>
      <c r="F6" s="24" t="s">
        <v>154</v>
      </c>
      <c r="G6" s="25">
        <v>240</v>
      </c>
      <c r="I6" s="124" t="s">
        <v>17</v>
      </c>
      <c r="J6" s="125">
        <v>-35</v>
      </c>
      <c r="K6" s="124" t="s">
        <v>87</v>
      </c>
      <c r="L6" s="125"/>
    </row>
    <row r="7" spans="3:12">
      <c r="C7" s="120" t="s">
        <v>18</v>
      </c>
      <c r="D7" s="121">
        <f>D6+D5</f>
        <v>25</v>
      </c>
      <c r="E7" s="3" t="s">
        <v>19</v>
      </c>
      <c r="F7" s="24" t="s">
        <v>20</v>
      </c>
      <c r="G7" s="25">
        <v>390</v>
      </c>
      <c r="I7" s="124" t="s">
        <v>21</v>
      </c>
      <c r="J7" s="125">
        <v>-13.2</v>
      </c>
      <c r="K7" s="124" t="s">
        <v>87</v>
      </c>
      <c r="L7" s="125"/>
    </row>
    <row r="8" spans="3:12">
      <c r="C8" s="122" t="s">
        <v>22</v>
      </c>
      <c r="D8" s="194">
        <f>SUMIF(L3:L33,"f",J3:J33)</f>
        <v>-1917.3</v>
      </c>
      <c r="E8" s="30"/>
      <c r="F8" s="24" t="s">
        <v>155</v>
      </c>
      <c r="G8" s="25"/>
      <c r="I8" s="124" t="s">
        <v>24</v>
      </c>
      <c r="J8" s="125">
        <v>-217</v>
      </c>
      <c r="K8" s="124" t="s">
        <v>87</v>
      </c>
      <c r="L8" s="125"/>
    </row>
    <row r="9" spans="3:12">
      <c r="C9" s="31"/>
      <c r="E9" s="30"/>
      <c r="F9" s="24" t="s">
        <v>142</v>
      </c>
      <c r="G9" s="25">
        <v>235</v>
      </c>
      <c r="I9" s="124" t="s">
        <v>25</v>
      </c>
      <c r="J9" s="125">
        <v>-35</v>
      </c>
      <c r="K9" s="124" t="s">
        <v>87</v>
      </c>
      <c r="L9" s="125"/>
    </row>
    <row r="10" spans="3:12" ht="15" thickBot="1">
      <c r="C10" s="31"/>
      <c r="D10" s="111"/>
      <c r="E10"/>
      <c r="F10" s="24" t="s">
        <v>156</v>
      </c>
      <c r="G10" s="25"/>
      <c r="I10" s="124" t="s">
        <v>27</v>
      </c>
      <c r="J10" s="125">
        <v>-16.989999999999998</v>
      </c>
      <c r="K10" s="124" t="s">
        <v>87</v>
      </c>
      <c r="L10" s="125"/>
    </row>
    <row r="11" spans="3:12" ht="15" thickBot="1">
      <c r="C11"/>
      <c r="D11" s="84"/>
      <c r="E11"/>
      <c r="F11" s="26" t="s">
        <v>28</v>
      </c>
      <c r="G11" s="27">
        <f>SUM(G3:G10)</f>
        <v>1045</v>
      </c>
      <c r="I11" s="124" t="s">
        <v>134</v>
      </c>
      <c r="J11" s="125">
        <v>-10</v>
      </c>
      <c r="K11" s="124" t="s">
        <v>87</v>
      </c>
      <c r="L11" s="125"/>
    </row>
    <row r="12" spans="3:12" thickBot="1">
      <c r="C12"/>
      <c r="D12"/>
      <c r="E12"/>
      <c r="I12" s="124" t="s">
        <v>30</v>
      </c>
      <c r="J12" s="125">
        <v>-10.99</v>
      </c>
      <c r="K12" s="124" t="s">
        <v>87</v>
      </c>
      <c r="L12" s="125"/>
    </row>
    <row r="13" spans="3:12" ht="15" thickBot="1">
      <c r="C13" s="115"/>
      <c r="D13" s="116"/>
      <c r="E13"/>
      <c r="F13" s="108"/>
      <c r="G13" s="109"/>
      <c r="I13" s="124" t="s">
        <v>32</v>
      </c>
      <c r="J13" s="126">
        <v>-31.67</v>
      </c>
      <c r="K13" s="124" t="s">
        <v>87</v>
      </c>
      <c r="L13" s="125"/>
    </row>
    <row r="14" spans="3:12" ht="14">
      <c r="C14"/>
      <c r="D14"/>
      <c r="E14"/>
      <c r="F14"/>
      <c r="I14" s="124" t="s">
        <v>33</v>
      </c>
      <c r="J14" s="125">
        <v>-204</v>
      </c>
      <c r="K14" s="124" t="s">
        <v>87</v>
      </c>
      <c r="L14" s="125"/>
    </row>
    <row r="15" spans="3:12">
      <c r="C15" s="31"/>
      <c r="E15"/>
      <c r="F15" s="77"/>
      <c r="I15" s="124" t="s">
        <v>34</v>
      </c>
      <c r="J15" s="125">
        <v>-13</v>
      </c>
      <c r="K15" s="124" t="s">
        <v>87</v>
      </c>
      <c r="L15" s="125"/>
    </row>
    <row r="16" spans="3:12">
      <c r="C16" s="31"/>
      <c r="E16"/>
      <c r="F16"/>
      <c r="I16" s="124" t="s">
        <v>36</v>
      </c>
      <c r="J16" s="125">
        <v>-6.25</v>
      </c>
      <c r="K16" s="124" t="s">
        <v>87</v>
      </c>
      <c r="L16" s="125"/>
    </row>
    <row r="17" spans="1:13">
      <c r="C17" s="31"/>
      <c r="E17"/>
      <c r="F17"/>
      <c r="I17" s="124" t="s">
        <v>34</v>
      </c>
      <c r="J17" s="125">
        <v>-27.8</v>
      </c>
      <c r="K17" s="124" t="s">
        <v>87</v>
      </c>
      <c r="L17" s="125"/>
    </row>
    <row r="18" spans="1:13">
      <c r="C18" s="31"/>
      <c r="E18"/>
      <c r="F18">
        <v>224.2</v>
      </c>
      <c r="I18" s="124" t="s">
        <v>39</v>
      </c>
      <c r="J18" s="125">
        <v>-3</v>
      </c>
      <c r="K18" s="124" t="s">
        <v>87</v>
      </c>
      <c r="L18" s="125"/>
    </row>
    <row r="19" spans="1:13" ht="14">
      <c r="C19" s="88" t="s">
        <v>7</v>
      </c>
      <c r="D19"/>
      <c r="E19"/>
      <c r="F19"/>
      <c r="I19" s="124" t="s">
        <v>42</v>
      </c>
      <c r="J19" s="125">
        <v>-790</v>
      </c>
      <c r="K19" s="124" t="s">
        <v>87</v>
      </c>
      <c r="L19" s="125" t="s">
        <v>11</v>
      </c>
    </row>
    <row r="20" spans="1:13" ht="14">
      <c r="C20" s="86" t="s">
        <v>35</v>
      </c>
      <c r="D20" s="87">
        <v>167660.10999999999</v>
      </c>
      <c r="E20"/>
      <c r="F20"/>
      <c r="I20" s="124" t="s">
        <v>121</v>
      </c>
      <c r="J20" s="125">
        <v>-730</v>
      </c>
      <c r="K20" s="124" t="s">
        <v>87</v>
      </c>
      <c r="L20" s="125" t="s">
        <v>11</v>
      </c>
    </row>
    <row r="21" spans="1:13" ht="14">
      <c r="C21" s="86" t="s">
        <v>37</v>
      </c>
      <c r="D21" s="87">
        <v>87559.93</v>
      </c>
      <c r="E21"/>
      <c r="F21"/>
      <c r="I21" s="124" t="s">
        <v>47</v>
      </c>
      <c r="J21" s="125">
        <v>-12.5</v>
      </c>
      <c r="K21" s="124" t="s">
        <v>87</v>
      </c>
      <c r="L21" s="125" t="s">
        <v>11</v>
      </c>
    </row>
    <row r="22" spans="1:13" ht="14">
      <c r="C22" s="89" t="s">
        <v>38</v>
      </c>
      <c r="D22" s="90">
        <f>SUM(D20:D21)</f>
        <v>255220.03999999998</v>
      </c>
      <c r="E22"/>
      <c r="F22"/>
      <c r="I22" s="124" t="s">
        <v>122</v>
      </c>
      <c r="J22" s="125">
        <v>-25</v>
      </c>
      <c r="K22" s="124" t="s">
        <v>87</v>
      </c>
      <c r="L22" s="125"/>
    </row>
    <row r="23" spans="1:13">
      <c r="C23" s="92" t="s">
        <v>40</v>
      </c>
      <c r="D23" s="93">
        <f>D24*0.2</f>
        <v>94000</v>
      </c>
      <c r="E23"/>
      <c r="F23" t="s">
        <v>73</v>
      </c>
      <c r="I23" s="124" t="s">
        <v>49</v>
      </c>
      <c r="J23" s="125">
        <v>-530</v>
      </c>
      <c r="K23" s="124" t="s">
        <v>87</v>
      </c>
      <c r="L23" s="125"/>
    </row>
    <row r="24" spans="1:13" ht="14">
      <c r="C24" s="86" t="s">
        <v>43</v>
      </c>
      <c r="D24" s="87">
        <v>470000</v>
      </c>
      <c r="E24"/>
      <c r="F24"/>
      <c r="I24" s="124" t="s">
        <v>117</v>
      </c>
      <c r="J24" s="125">
        <v>-22</v>
      </c>
      <c r="K24" s="124" t="s">
        <v>87</v>
      </c>
      <c r="L24" s="125" t="s">
        <v>11</v>
      </c>
    </row>
    <row r="25" spans="1:13">
      <c r="C25" s="91" t="s">
        <v>46</v>
      </c>
      <c r="D25" s="94">
        <f>SUM(D22:D23)-D24</f>
        <v>-120779.96000000002</v>
      </c>
      <c r="E25" s="32"/>
      <c r="I25" s="124" t="s">
        <v>52</v>
      </c>
      <c r="J25" s="125">
        <v>-7.6</v>
      </c>
      <c r="K25" s="124" t="s">
        <v>87</v>
      </c>
      <c r="L25" s="125"/>
    </row>
    <row r="26" spans="1:13">
      <c r="C26"/>
      <c r="D26"/>
      <c r="E26" s="32"/>
      <c r="I26" s="124" t="s">
        <v>102</v>
      </c>
      <c r="J26" s="125">
        <v>-10</v>
      </c>
      <c r="K26" s="124" t="s">
        <v>87</v>
      </c>
      <c r="L26" s="125"/>
    </row>
    <row r="27" spans="1:13">
      <c r="C27" s="31"/>
      <c r="E27" s="32"/>
      <c r="I27" s="124" t="s">
        <v>55</v>
      </c>
      <c r="J27" s="125">
        <v>-33</v>
      </c>
      <c r="K27" s="124" t="s">
        <v>87</v>
      </c>
      <c r="L27" s="125"/>
    </row>
    <row r="28" spans="1:13">
      <c r="C28" s="31"/>
      <c r="E28" s="32"/>
      <c r="I28" s="124" t="s">
        <v>56</v>
      </c>
      <c r="J28" s="125">
        <v>-85</v>
      </c>
      <c r="K28" s="124" t="s">
        <v>87</v>
      </c>
      <c r="L28" s="125" t="s">
        <v>11</v>
      </c>
    </row>
    <row r="29" spans="1:13">
      <c r="C29" s="31"/>
      <c r="D29" s="98"/>
      <c r="E29" s="32"/>
      <c r="I29" s="124" t="s">
        <v>63</v>
      </c>
      <c r="J29" s="125">
        <v>-300</v>
      </c>
      <c r="K29" s="124" t="s">
        <v>87</v>
      </c>
      <c r="L29" s="125"/>
      <c r="M29" s="15"/>
    </row>
    <row r="30" spans="1:13">
      <c r="C30" s="112"/>
      <c r="D30" s="113"/>
      <c r="E30" s="32"/>
      <c r="I30" s="124" t="s">
        <v>57</v>
      </c>
      <c r="J30" s="125">
        <v>-25</v>
      </c>
      <c r="K30" s="124" t="s">
        <v>87</v>
      </c>
      <c r="L30" s="125" t="s">
        <v>11</v>
      </c>
    </row>
    <row r="31" spans="1:13">
      <c r="A31" s="14"/>
      <c r="B31" s="14"/>
      <c r="C31" s="31"/>
      <c r="D31" s="113"/>
      <c r="E31" s="32"/>
      <c r="I31" s="124" t="s">
        <v>157</v>
      </c>
      <c r="J31" s="125">
        <v>-11.7</v>
      </c>
      <c r="K31" s="124" t="s">
        <v>87</v>
      </c>
      <c r="L31" s="125"/>
    </row>
    <row r="32" spans="1:13">
      <c r="C32" s="31"/>
      <c r="D32" s="113"/>
      <c r="E32" s="32"/>
      <c r="H32" s="30"/>
      <c r="I32" s="124" t="s">
        <v>160</v>
      </c>
      <c r="J32" s="125">
        <v>-35</v>
      </c>
      <c r="K32" s="124" t="s">
        <v>87</v>
      </c>
      <c r="L32" s="125"/>
    </row>
    <row r="33" spans="5:12">
      <c r="E33" s="32" t="s">
        <v>81</v>
      </c>
      <c r="H33" s="30"/>
      <c r="I33" s="124" t="s">
        <v>128</v>
      </c>
      <c r="J33" s="125">
        <v>-8</v>
      </c>
      <c r="K33" s="124" t="s">
        <v>87</v>
      </c>
      <c r="L33" s="125" t="s">
        <v>11</v>
      </c>
    </row>
    <row r="34" spans="5:12">
      <c r="E34" s="32"/>
      <c r="H34" s="30"/>
      <c r="I34" s="124" t="s">
        <v>161</v>
      </c>
      <c r="J34" s="125">
        <v>-120</v>
      </c>
      <c r="K34" s="124" t="s">
        <v>8</v>
      </c>
      <c r="L34" s="17"/>
    </row>
    <row r="35" spans="5:12">
      <c r="E35" s="32"/>
      <c r="H35" s="30"/>
      <c r="I35" s="124" t="s">
        <v>162</v>
      </c>
      <c r="J35" s="125">
        <v>-20</v>
      </c>
      <c r="K35" s="124" t="s">
        <v>87</v>
      </c>
      <c r="L35" s="17"/>
    </row>
    <row r="36" spans="5:12">
      <c r="E36" s="32"/>
      <c r="H36" s="30"/>
      <c r="I36" s="17" t="s">
        <v>163</v>
      </c>
      <c r="J36" s="125">
        <v>-10</v>
      </c>
      <c r="K36" s="124" t="s">
        <v>87</v>
      </c>
      <c r="L36" s="17"/>
    </row>
    <row r="37" spans="5:12">
      <c r="E37" s="32"/>
      <c r="H37" s="30"/>
      <c r="I37" s="17" t="s">
        <v>164</v>
      </c>
      <c r="J37" s="17">
        <v>-60</v>
      </c>
      <c r="K37" s="124" t="s">
        <v>87</v>
      </c>
      <c r="L37" s="17"/>
    </row>
    <row r="38" spans="5:12">
      <c r="E38" s="32"/>
      <c r="H38" s="30"/>
      <c r="I38" s="17"/>
      <c r="J38" s="17"/>
      <c r="K38" s="124" t="s">
        <v>8</v>
      </c>
      <c r="L38" s="17"/>
    </row>
    <row r="39" spans="5:12">
      <c r="E39" s="32"/>
      <c r="H39" s="30"/>
      <c r="I39" s="17"/>
      <c r="J39" s="17"/>
      <c r="K39" s="124" t="s">
        <v>8</v>
      </c>
      <c r="L39" s="17"/>
    </row>
    <row r="40" spans="5:12">
      <c r="E40" s="32"/>
      <c r="H40" s="30"/>
    </row>
    <row r="41" spans="5:12">
      <c r="E41" s="32"/>
      <c r="H41" s="30"/>
    </row>
    <row r="42" spans="5:12">
      <c r="E42" s="32"/>
      <c r="H42" s="30"/>
    </row>
    <row r="43" spans="5:12">
      <c r="E43" s="32"/>
      <c r="H43" s="30"/>
    </row>
    <row r="44" spans="5:12">
      <c r="E44" s="32"/>
      <c r="H44" s="30"/>
    </row>
    <row r="45" spans="5:12">
      <c r="E45" s="32"/>
      <c r="H45" s="30"/>
    </row>
    <row r="46" spans="5:12">
      <c r="E46" s="32"/>
      <c r="H46" s="30"/>
    </row>
    <row r="47" spans="5:12">
      <c r="E47" s="32"/>
      <c r="H47" s="30"/>
    </row>
    <row r="48" spans="5:12">
      <c r="E48" s="32"/>
      <c r="H48" s="30"/>
    </row>
  </sheetData>
  <autoFilter ref="I2:L33" xr:uid="{00000000-0009-0000-0000-000011000000}"/>
  <conditionalFormatting sqref="I3:L3 I4:J12 L4:L32 K4:K39 I13 I14:J32 I34:J35">
    <cfRule type="expression" dxfId="73" priority="2">
      <formula>$A$3</formula>
    </cfRule>
  </conditionalFormatting>
  <conditionalFormatting sqref="J36">
    <cfRule type="expression" dxfId="72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1"/>
  <dimension ref="A1:IR48"/>
  <sheetViews>
    <sheetView zoomScale="205" zoomScaleNormal="205" workbookViewId="0">
      <selection activeCell="D5" sqref="D5"/>
    </sheetView>
  </sheetViews>
  <sheetFormatPr defaultColWidth="0" defaultRowHeight="14.5"/>
  <cols>
    <col min="1" max="1" width="1.08203125" style="3" customWidth="1"/>
    <col min="2" max="2" width="13.08203125" style="1" customWidth="1"/>
    <col min="3" max="3" width="11.5" style="3" customWidth="1"/>
    <col min="4" max="4" width="8.08203125" style="2" customWidth="1"/>
    <col min="5" max="5" width="17" style="3" bestFit="1" customWidth="1"/>
    <col min="6" max="6" width="10.5" style="3" customWidth="1"/>
    <col min="7" max="7" width="9.08203125" style="3" customWidth="1"/>
    <col min="8" max="8" width="33.08203125" style="3" customWidth="1"/>
    <col min="9" max="9" width="12.5" style="3" customWidth="1"/>
    <col min="10" max="10" width="10.08203125" style="3" customWidth="1"/>
    <col min="11" max="11" width="2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253" width="0" style="3" hidden="1" customWidth="1"/>
    <col min="254" max="16384" width="0" style="3" hidden="1"/>
  </cols>
  <sheetData>
    <row r="1" spans="2:11" ht="9" customHeight="1" thickBot="1">
      <c r="B1" s="31"/>
      <c r="D1" s="32"/>
    </row>
    <row r="2" spans="2:11" ht="15" thickBot="1">
      <c r="B2" s="117" t="s">
        <v>0</v>
      </c>
      <c r="C2" s="31"/>
      <c r="D2" s="3"/>
      <c r="E2" s="106" t="s">
        <v>1</v>
      </c>
      <c r="F2" s="31"/>
      <c r="H2" s="120" t="s">
        <v>2</v>
      </c>
      <c r="I2" s="123" t="s">
        <v>3</v>
      </c>
      <c r="J2" s="120" t="s">
        <v>4</v>
      </c>
      <c r="K2" s="123" t="s">
        <v>5</v>
      </c>
    </row>
    <row r="3" spans="2:11">
      <c r="B3" s="118" t="s">
        <v>6</v>
      </c>
      <c r="C3" s="119">
        <v>6080</v>
      </c>
      <c r="D3" s="3"/>
      <c r="E3" s="7" t="s">
        <v>1</v>
      </c>
      <c r="F3" s="4">
        <v>180</v>
      </c>
      <c r="H3" s="124" t="s">
        <v>7</v>
      </c>
      <c r="I3" s="125">
        <v>-797</v>
      </c>
      <c r="J3" s="124" t="s">
        <v>8</v>
      </c>
      <c r="K3" s="125"/>
    </row>
    <row r="4" spans="2:11">
      <c r="B4" s="100" t="s">
        <v>9</v>
      </c>
      <c r="C4" s="192">
        <f>SUMIF(J3:J29,"Yes*",I3:I29)</f>
        <v>-3409.94</v>
      </c>
      <c r="D4" s="3"/>
      <c r="E4" s="6" t="s">
        <v>98</v>
      </c>
      <c r="F4" s="5">
        <v>100</v>
      </c>
      <c r="H4" s="124" t="s">
        <v>10</v>
      </c>
      <c r="I4" s="125">
        <v>-244.8</v>
      </c>
      <c r="J4" s="124" t="s">
        <v>87</v>
      </c>
      <c r="K4" s="125" t="s">
        <v>11</v>
      </c>
    </row>
    <row r="5" spans="2:11">
      <c r="B5" s="118" t="s">
        <v>12</v>
      </c>
      <c r="C5" s="119">
        <v>88.99</v>
      </c>
      <c r="D5" s="3"/>
      <c r="E5" s="24" t="s">
        <v>165</v>
      </c>
      <c r="F5" s="25">
        <v>100</v>
      </c>
      <c r="G5" s="9"/>
      <c r="H5" s="124" t="s">
        <v>14</v>
      </c>
      <c r="I5" s="125">
        <v>-28.4</v>
      </c>
      <c r="J5" s="124" t="s">
        <v>87</v>
      </c>
      <c r="K5" s="125"/>
    </row>
    <row r="6" spans="2:11">
      <c r="B6" s="100" t="s">
        <v>15</v>
      </c>
      <c r="C6" s="193">
        <f>SUMIF(J3:J39,"No",I3:I39)</f>
        <v>-882.06</v>
      </c>
      <c r="D6" s="3"/>
      <c r="E6" s="24" t="s">
        <v>154</v>
      </c>
      <c r="F6" s="25">
        <v>665</v>
      </c>
      <c r="H6" s="124" t="s">
        <v>17</v>
      </c>
      <c r="I6" s="125">
        <v>-35</v>
      </c>
      <c r="J6" s="124" t="s">
        <v>8</v>
      </c>
      <c r="K6" s="125"/>
    </row>
    <row r="7" spans="2:11">
      <c r="B7" s="120" t="s">
        <v>18</v>
      </c>
      <c r="C7" s="121">
        <f>C6+C5</f>
        <v>-793.06999999999994</v>
      </c>
      <c r="D7" s="3" t="s">
        <v>19</v>
      </c>
      <c r="E7" s="24" t="s">
        <v>20</v>
      </c>
      <c r="F7" s="25">
        <v>356</v>
      </c>
      <c r="H7" s="124" t="s">
        <v>21</v>
      </c>
      <c r="I7" s="125">
        <v>-13.2</v>
      </c>
      <c r="J7" s="124" t="s">
        <v>87</v>
      </c>
      <c r="K7" s="125"/>
    </row>
    <row r="8" spans="2:11">
      <c r="B8" s="122" t="s">
        <v>22</v>
      </c>
      <c r="C8" s="194">
        <f>SUMIF(K3:K33,"f",I3:I33)</f>
        <v>-2407.1</v>
      </c>
      <c r="D8" s="30"/>
      <c r="E8" s="24" t="s">
        <v>155</v>
      </c>
      <c r="F8" s="25"/>
      <c r="H8" s="124" t="s">
        <v>24</v>
      </c>
      <c r="I8" s="125">
        <v>-217</v>
      </c>
      <c r="J8" s="124" t="s">
        <v>87</v>
      </c>
      <c r="K8" s="125"/>
    </row>
    <row r="9" spans="2:11">
      <c r="B9" s="31"/>
      <c r="D9" s="30"/>
      <c r="E9" s="24" t="s">
        <v>142</v>
      </c>
      <c r="F9" s="25">
        <v>263</v>
      </c>
      <c r="H9" s="124" t="s">
        <v>25</v>
      </c>
      <c r="I9" s="125">
        <v>-35</v>
      </c>
      <c r="J9" s="124" t="s">
        <v>87</v>
      </c>
      <c r="K9" s="125"/>
    </row>
    <row r="10" spans="2:11" ht="15" thickBot="1">
      <c r="B10" s="31"/>
      <c r="C10" s="111">
        <v>4042</v>
      </c>
      <c r="D10"/>
      <c r="E10" s="24" t="s">
        <v>156</v>
      </c>
      <c r="F10" s="25">
        <v>4475.6899999999996</v>
      </c>
      <c r="H10" s="124" t="s">
        <v>27</v>
      </c>
      <c r="I10" s="125">
        <v>-16.989999999999998</v>
      </c>
      <c r="J10" s="124" t="s">
        <v>87</v>
      </c>
      <c r="K10" s="125"/>
    </row>
    <row r="11" spans="2:11" ht="15" thickBot="1">
      <c r="B11"/>
      <c r="C11" s="84">
        <f>C5-C10</f>
        <v>-3953.01</v>
      </c>
      <c r="D11"/>
      <c r="E11" s="26" t="s">
        <v>28</v>
      </c>
      <c r="F11" s="27">
        <f>SUM(F3:F10)</f>
        <v>6139.69</v>
      </c>
      <c r="H11" s="124" t="s">
        <v>29</v>
      </c>
      <c r="I11" s="125">
        <v>-395</v>
      </c>
      <c r="J11" s="124" t="s">
        <v>87</v>
      </c>
      <c r="K11" s="125"/>
    </row>
    <row r="12" spans="2:11" thickBot="1">
      <c r="B12"/>
      <c r="C12"/>
      <c r="D12"/>
      <c r="H12" s="124" t="s">
        <v>30</v>
      </c>
      <c r="I12" s="125">
        <v>-10.99</v>
      </c>
      <c r="J12" s="124" t="s">
        <v>8</v>
      </c>
      <c r="K12" s="125"/>
    </row>
    <row r="13" spans="2:11" ht="15" thickBot="1">
      <c r="B13" s="115" t="s">
        <v>166</v>
      </c>
      <c r="C13" s="116">
        <v>4172.91</v>
      </c>
      <c r="D13"/>
      <c r="E13" s="108"/>
      <c r="F13" s="109"/>
      <c r="H13" s="124" t="s">
        <v>32</v>
      </c>
      <c r="I13" s="126">
        <v>-31.67</v>
      </c>
      <c r="J13" s="124" t="s">
        <v>8</v>
      </c>
      <c r="K13" s="125"/>
    </row>
    <row r="14" spans="2:11" ht="14">
      <c r="B14" t="s">
        <v>167</v>
      </c>
      <c r="C14">
        <v>3945</v>
      </c>
      <c r="D14"/>
      <c r="E14"/>
      <c r="H14" s="124" t="s">
        <v>33</v>
      </c>
      <c r="I14" s="125">
        <v>-204</v>
      </c>
      <c r="J14" s="124" t="s">
        <v>87</v>
      </c>
      <c r="K14" s="125"/>
    </row>
    <row r="15" spans="2:11">
      <c r="B15" s="31"/>
      <c r="D15"/>
      <c r="E15" s="77"/>
      <c r="H15" s="124" t="s">
        <v>34</v>
      </c>
      <c r="I15" s="125">
        <v>-16</v>
      </c>
      <c r="J15" s="124" t="s">
        <v>87</v>
      </c>
      <c r="K15" s="125"/>
    </row>
    <row r="16" spans="2:11">
      <c r="B16" s="31"/>
      <c r="D16"/>
      <c r="E16" t="s">
        <v>168</v>
      </c>
      <c r="F16" s="3">
        <v>4201.28</v>
      </c>
      <c r="H16" s="124" t="s">
        <v>36</v>
      </c>
      <c r="I16" s="125">
        <v>-6.25</v>
      </c>
      <c r="J16" s="124" t="s">
        <v>87</v>
      </c>
      <c r="K16" s="125"/>
    </row>
    <row r="17" spans="1:12">
      <c r="B17" s="31"/>
      <c r="D17"/>
      <c r="E17" t="s">
        <v>169</v>
      </c>
      <c r="F17" s="3" t="s">
        <v>170</v>
      </c>
      <c r="H17" s="124" t="s">
        <v>34</v>
      </c>
      <c r="I17" s="125">
        <v>-35</v>
      </c>
      <c r="J17" s="124" t="s">
        <v>87</v>
      </c>
      <c r="K17" s="125"/>
    </row>
    <row r="18" spans="1:12">
      <c r="B18" s="31"/>
      <c r="D18"/>
      <c r="E18">
        <v>4369</v>
      </c>
      <c r="H18" s="124" t="s">
        <v>39</v>
      </c>
      <c r="I18" s="125">
        <v>-3</v>
      </c>
      <c r="J18" s="124" t="s">
        <v>87</v>
      </c>
      <c r="K18" s="125"/>
    </row>
    <row r="19" spans="1:12" ht="14">
      <c r="B19" s="88" t="s">
        <v>7</v>
      </c>
      <c r="C19"/>
      <c r="D19"/>
      <c r="E19"/>
      <c r="H19" s="124" t="s">
        <v>42</v>
      </c>
      <c r="I19" s="125">
        <v>-700</v>
      </c>
      <c r="J19" s="124" t="s">
        <v>87</v>
      </c>
      <c r="K19" s="125" t="s">
        <v>11</v>
      </c>
    </row>
    <row r="20" spans="1:12" ht="14">
      <c r="B20" s="86" t="s">
        <v>35</v>
      </c>
      <c r="C20" s="87">
        <v>167660.10999999999</v>
      </c>
      <c r="D20"/>
      <c r="E20"/>
      <c r="H20" s="124" t="s">
        <v>121</v>
      </c>
      <c r="I20" s="125">
        <v>-254.8</v>
      </c>
      <c r="J20" s="124" t="s">
        <v>87</v>
      </c>
      <c r="K20" s="125" t="s">
        <v>11</v>
      </c>
    </row>
    <row r="21" spans="1:12" ht="14">
      <c r="B21" s="86" t="s">
        <v>37</v>
      </c>
      <c r="C21" s="87">
        <v>87559.93</v>
      </c>
      <c r="D21"/>
      <c r="E21"/>
      <c r="H21" s="124" t="s">
        <v>47</v>
      </c>
      <c r="I21" s="125">
        <v>-12.5</v>
      </c>
      <c r="J21" s="124" t="s">
        <v>87</v>
      </c>
      <c r="K21" s="125" t="s">
        <v>11</v>
      </c>
    </row>
    <row r="22" spans="1:12" ht="14">
      <c r="B22" s="89" t="s">
        <v>38</v>
      </c>
      <c r="C22" s="90">
        <f>SUM(C20:C21)</f>
        <v>255220.03999999998</v>
      </c>
      <c r="D22"/>
      <c r="E22"/>
      <c r="H22" s="124" t="s">
        <v>171</v>
      </c>
      <c r="I22" s="125">
        <v>-15</v>
      </c>
      <c r="J22" s="124" t="s">
        <v>87</v>
      </c>
      <c r="K22" s="125"/>
    </row>
    <row r="23" spans="1:12">
      <c r="B23" s="92" t="s">
        <v>40</v>
      </c>
      <c r="C23" s="93">
        <f>C24*0.2</f>
        <v>94000</v>
      </c>
      <c r="D23"/>
      <c r="E23" t="s">
        <v>73</v>
      </c>
      <c r="H23" s="124" t="s">
        <v>49</v>
      </c>
      <c r="I23" s="125">
        <v>-950</v>
      </c>
      <c r="J23" s="124" t="s">
        <v>87</v>
      </c>
      <c r="K23" s="125" t="s">
        <v>11</v>
      </c>
    </row>
    <row r="24" spans="1:12" ht="14">
      <c r="B24" s="86" t="s">
        <v>43</v>
      </c>
      <c r="C24" s="87">
        <v>470000</v>
      </c>
      <c r="D24"/>
      <c r="E24"/>
      <c r="H24" s="124" t="s">
        <v>117</v>
      </c>
      <c r="I24" s="125">
        <v>-135</v>
      </c>
      <c r="J24" s="124" t="s">
        <v>87</v>
      </c>
      <c r="K24" s="125" t="s">
        <v>11</v>
      </c>
    </row>
    <row r="25" spans="1:12">
      <c r="B25" s="91" t="s">
        <v>46</v>
      </c>
      <c r="C25" s="94">
        <f>SUM(C22:C23)-C24</f>
        <v>-120779.96000000002</v>
      </c>
      <c r="D25" s="32"/>
      <c r="H25" s="124" t="s">
        <v>52</v>
      </c>
      <c r="I25" s="125">
        <v>-7.4</v>
      </c>
      <c r="J25" s="124" t="s">
        <v>8</v>
      </c>
      <c r="K25" s="125"/>
    </row>
    <row r="26" spans="1:12">
      <c r="B26"/>
      <c r="C26"/>
      <c r="D26" s="32"/>
      <c r="H26" s="124" t="s">
        <v>102</v>
      </c>
      <c r="I26" s="125">
        <v>-10</v>
      </c>
      <c r="J26" s="124" t="s">
        <v>87</v>
      </c>
      <c r="K26" s="125"/>
    </row>
    <row r="27" spans="1:12">
      <c r="B27" s="31"/>
      <c r="D27" s="32"/>
      <c r="H27" s="124" t="s">
        <v>55</v>
      </c>
      <c r="I27" s="125">
        <v>-33</v>
      </c>
      <c r="J27" s="124" t="s">
        <v>87</v>
      </c>
      <c r="K27" s="125"/>
    </row>
    <row r="28" spans="1:12">
      <c r="B28" s="31"/>
      <c r="D28" s="32"/>
      <c r="H28" s="124" t="s">
        <v>56</v>
      </c>
      <c r="I28" s="125">
        <v>-85</v>
      </c>
      <c r="J28" s="124" t="s">
        <v>87</v>
      </c>
      <c r="K28" s="125" t="s">
        <v>11</v>
      </c>
    </row>
    <row r="29" spans="1:12">
      <c r="B29" s="31" t="s">
        <v>172</v>
      </c>
      <c r="C29" s="98">
        <v>11819</v>
      </c>
      <c r="D29" s="32"/>
      <c r="H29" s="124" t="s">
        <v>173</v>
      </c>
      <c r="I29" s="125"/>
      <c r="J29" s="124" t="s">
        <v>8</v>
      </c>
      <c r="K29" s="125"/>
      <c r="L29" s="15"/>
    </row>
    <row r="30" spans="1:12">
      <c r="B30" s="112">
        <v>45538</v>
      </c>
      <c r="C30" s="113">
        <f>C29/32</f>
        <v>369.34375</v>
      </c>
      <c r="D30" s="32"/>
      <c r="H30" s="124" t="s">
        <v>57</v>
      </c>
      <c r="I30" s="125">
        <v>-25</v>
      </c>
      <c r="J30" s="124" t="s">
        <v>87</v>
      </c>
      <c r="K30" s="125" t="s">
        <v>11</v>
      </c>
    </row>
    <row r="31" spans="1:12">
      <c r="A31" s="14"/>
      <c r="B31" s="31"/>
      <c r="C31" s="113">
        <f>C30*24</f>
        <v>8864.25</v>
      </c>
      <c r="D31" s="32"/>
      <c r="H31" s="124" t="s">
        <v>157</v>
      </c>
      <c r="I31" s="125">
        <v>-11.7</v>
      </c>
      <c r="J31" s="124" t="s">
        <v>87</v>
      </c>
      <c r="K31" s="125"/>
    </row>
    <row r="32" spans="1:12">
      <c r="B32" s="31"/>
      <c r="C32" s="113">
        <f>C31-C29</f>
        <v>-2954.75</v>
      </c>
      <c r="D32" s="32"/>
      <c r="F32" s="3">
        <v>720</v>
      </c>
      <c r="G32" s="30"/>
      <c r="H32" s="124" t="s">
        <v>160</v>
      </c>
      <c r="I32" s="125">
        <v>-42.23</v>
      </c>
      <c r="J32" s="124" t="s">
        <v>87</v>
      </c>
      <c r="K32" s="125"/>
    </row>
    <row r="33" spans="5:11">
      <c r="E33" s="3" t="s">
        <v>174</v>
      </c>
      <c r="F33" s="3">
        <v>225</v>
      </c>
      <c r="G33" s="30"/>
      <c r="H33" s="124" t="s">
        <v>175</v>
      </c>
      <c r="I33" s="125">
        <v>-10</v>
      </c>
      <c r="J33" s="124" t="s">
        <v>87</v>
      </c>
      <c r="K33" s="125"/>
    </row>
    <row r="34" spans="5:11">
      <c r="G34" s="30"/>
      <c r="H34" s="124" t="s">
        <v>176</v>
      </c>
      <c r="I34" s="125">
        <v>-873.2</v>
      </c>
      <c r="J34" s="124" t="s">
        <v>87</v>
      </c>
      <c r="K34" s="17"/>
    </row>
    <row r="35" spans="5:11">
      <c r="G35" s="30"/>
      <c r="H35" s="124" t="s">
        <v>177</v>
      </c>
      <c r="I35" s="125">
        <v>-100</v>
      </c>
      <c r="J35" s="124" t="s">
        <v>87</v>
      </c>
      <c r="K35" s="17"/>
    </row>
    <row r="36" spans="5:11">
      <c r="G36" s="30"/>
      <c r="H36" s="17" t="s">
        <v>178</v>
      </c>
      <c r="I36" s="125">
        <v>-8624.41</v>
      </c>
      <c r="J36" s="124" t="s">
        <v>87</v>
      </c>
      <c r="K36" s="17"/>
    </row>
    <row r="37" spans="5:11">
      <c r="G37" s="30"/>
      <c r="H37" s="17"/>
      <c r="I37" s="17"/>
      <c r="J37" s="124" t="s">
        <v>8</v>
      </c>
      <c r="K37" s="17"/>
    </row>
    <row r="38" spans="5:11">
      <c r="G38" s="30"/>
      <c r="H38" s="17"/>
      <c r="I38" s="17"/>
      <c r="J38" s="124" t="s">
        <v>8</v>
      </c>
      <c r="K38" s="17"/>
    </row>
    <row r="39" spans="5:11">
      <c r="G39" s="30"/>
      <c r="H39" s="17"/>
      <c r="I39" s="17"/>
      <c r="J39" s="124" t="s">
        <v>8</v>
      </c>
      <c r="K39" s="17"/>
    </row>
    <row r="40" spans="5:11">
      <c r="G40" s="30"/>
    </row>
    <row r="41" spans="5:11">
      <c r="G41" s="30"/>
    </row>
    <row r="42" spans="5:11">
      <c r="G42" s="30"/>
    </row>
    <row r="43" spans="5:11">
      <c r="E43" s="3" t="s">
        <v>179</v>
      </c>
      <c r="G43" s="30"/>
    </row>
    <row r="44" spans="5:11">
      <c r="E44" s="3" t="s">
        <v>180</v>
      </c>
      <c r="G44" s="30"/>
    </row>
    <row r="45" spans="5:11">
      <c r="G45" s="30"/>
    </row>
    <row r="46" spans="5:11">
      <c r="G46" s="30"/>
    </row>
    <row r="47" spans="5:11">
      <c r="G47" s="30"/>
    </row>
    <row r="48" spans="5:11">
      <c r="G48" s="30"/>
    </row>
  </sheetData>
  <autoFilter ref="H2:K33" xr:uid="{00000000-0009-0000-0000-000012000000}"/>
  <conditionalFormatting sqref="H3:K3 H4:I12 K4:K32 J4:J39 H13 H14:I32 H34:I35">
    <cfRule type="expression" dxfId="71" priority="2">
      <formula>#REF!</formula>
    </cfRule>
  </conditionalFormatting>
  <conditionalFormatting sqref="I36">
    <cfRule type="expression" dxfId="70" priority="1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"/>
  <dimension ref="A1:IS48"/>
  <sheetViews>
    <sheetView zoomScale="265" zoomScaleNormal="265" workbookViewId="0">
      <selection activeCell="D5" sqref="D5"/>
    </sheetView>
  </sheetViews>
  <sheetFormatPr defaultColWidth="0" defaultRowHeight="14.5"/>
  <cols>
    <col min="1" max="2" width="1.08203125" style="3" customWidth="1"/>
    <col min="3" max="3" width="23.5" style="1" bestFit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3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14">
        <v>4203.03</v>
      </c>
      <c r="E3" s="3"/>
      <c r="F3" s="7" t="s">
        <v>1</v>
      </c>
      <c r="G3" s="4">
        <v>90</v>
      </c>
      <c r="I3" s="11" t="s">
        <v>7</v>
      </c>
      <c r="J3" s="12">
        <v>-797</v>
      </c>
      <c r="K3" s="11" t="s">
        <v>87</v>
      </c>
      <c r="L3" s="12"/>
    </row>
    <row r="4" spans="3:12">
      <c r="C4" s="187" t="s">
        <v>9</v>
      </c>
      <c r="D4" s="188">
        <f>SUMIF(K3:K29,"Yes*",J3:J29)</f>
        <v>-3763.13</v>
      </c>
      <c r="E4" s="3"/>
      <c r="F4" s="6"/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14">
        <v>39</v>
      </c>
      <c r="E5" s="3"/>
      <c r="F5" s="24" t="s">
        <v>181</v>
      </c>
      <c r="G5" s="25">
        <v>3396</v>
      </c>
      <c r="H5" s="9"/>
      <c r="I5" s="11" t="s">
        <v>14</v>
      </c>
      <c r="J5" s="12">
        <v>-28.4</v>
      </c>
      <c r="K5" s="11" t="s">
        <v>87</v>
      </c>
      <c r="L5" s="12"/>
    </row>
    <row r="6" spans="3:12" ht="15" thickBot="1">
      <c r="C6" s="189" t="s">
        <v>15</v>
      </c>
      <c r="D6" s="195">
        <f>SUMIF(K3:K39,"No",J3:J39)</f>
        <v>-39.07</v>
      </c>
      <c r="E6" s="3"/>
      <c r="F6" s="24" t="s">
        <v>182</v>
      </c>
      <c r="G6" s="25">
        <v>500</v>
      </c>
      <c r="I6" s="11" t="s">
        <v>17</v>
      </c>
      <c r="J6" s="12">
        <v>-35</v>
      </c>
      <c r="K6" s="11" t="s">
        <v>87</v>
      </c>
      <c r="L6" s="12"/>
    </row>
    <row r="7" spans="3:12" ht="15" thickBot="1">
      <c r="C7" s="28" t="s">
        <v>18</v>
      </c>
      <c r="D7" s="29">
        <f>D6+D5</f>
        <v>-7.0000000000000284E-2</v>
      </c>
      <c r="E7" s="3" t="s">
        <v>19</v>
      </c>
      <c r="F7" s="24" t="s">
        <v>20</v>
      </c>
      <c r="G7" s="25">
        <v>322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-1895.3</v>
      </c>
      <c r="E8" s="30"/>
      <c r="F8" s="24"/>
      <c r="G8" s="25"/>
      <c r="I8" s="11" t="s">
        <v>24</v>
      </c>
      <c r="J8" s="12">
        <v>-217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87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 s="84">
        <f>D5-D10</f>
        <v>-4003</v>
      </c>
      <c r="E11"/>
      <c r="F11" s="26" t="s">
        <v>28</v>
      </c>
      <c r="G11" s="27">
        <f>SUM(G3:G10)</f>
        <v>4308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-10.99</v>
      </c>
      <c r="K12" s="11" t="s">
        <v>87</v>
      </c>
      <c r="L12" s="12"/>
    </row>
    <row r="13" spans="3:12" ht="15" thickBot="1">
      <c r="C13" s="115" t="s">
        <v>166</v>
      </c>
      <c r="D13" s="116">
        <v>4172.91</v>
      </c>
      <c r="E13"/>
      <c r="F13" s="108"/>
      <c r="G13" s="109"/>
      <c r="I13" s="11" t="s">
        <v>32</v>
      </c>
      <c r="J13" s="101">
        <v>-31.67</v>
      </c>
      <c r="K13" s="11" t="s">
        <v>8</v>
      </c>
      <c r="L13" s="12"/>
    </row>
    <row r="14" spans="3:12" ht="14">
      <c r="C14" t="s">
        <v>167</v>
      </c>
      <c r="D14">
        <v>3945</v>
      </c>
      <c r="E14"/>
      <c r="F14"/>
      <c r="I14" s="11" t="s">
        <v>33</v>
      </c>
      <c r="J14" s="12">
        <v>-204</v>
      </c>
      <c r="K14" s="11" t="s">
        <v>87</v>
      </c>
      <c r="L14" s="12"/>
    </row>
    <row r="15" spans="3:12">
      <c r="C15" s="31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>
      <c r="C16" s="31"/>
      <c r="E16"/>
      <c r="F16" t="s">
        <v>168</v>
      </c>
      <c r="G16" s="3">
        <v>4201.28</v>
      </c>
      <c r="I16" s="11" t="s">
        <v>36</v>
      </c>
      <c r="J16" s="12">
        <v>-6.25</v>
      </c>
      <c r="K16" s="11" t="s">
        <v>87</v>
      </c>
      <c r="L16" s="12"/>
    </row>
    <row r="17" spans="1:13">
      <c r="C17" s="31"/>
      <c r="E17"/>
      <c r="F17" t="s">
        <v>169</v>
      </c>
      <c r="G17" s="3" t="s">
        <v>170</v>
      </c>
      <c r="I17" s="11" t="s">
        <v>34</v>
      </c>
      <c r="J17" s="12">
        <v>-35</v>
      </c>
      <c r="K17" s="11" t="s">
        <v>87</v>
      </c>
      <c r="L17" s="12"/>
    </row>
    <row r="18" spans="1:13">
      <c r="C18" s="31"/>
      <c r="E18"/>
      <c r="F18">
        <v>4369</v>
      </c>
      <c r="I18" s="11" t="s">
        <v>39</v>
      </c>
      <c r="J18" s="12">
        <v>-3</v>
      </c>
      <c r="K18" s="11" t="s">
        <v>87</v>
      </c>
      <c r="L18" s="12"/>
    </row>
    <row r="19" spans="1:13" ht="14">
      <c r="C19" s="88" t="s">
        <v>7</v>
      </c>
      <c r="D19"/>
      <c r="E19"/>
      <c r="F19"/>
      <c r="I19" s="11" t="s">
        <v>42</v>
      </c>
      <c r="J19" s="12">
        <v>-718</v>
      </c>
      <c r="K19" s="11" t="s">
        <v>87</v>
      </c>
      <c r="L19" s="12" t="s">
        <v>11</v>
      </c>
    </row>
    <row r="20" spans="1:13" ht="14">
      <c r="C20" s="86" t="s">
        <v>35</v>
      </c>
      <c r="D20" s="87">
        <v>167660.10999999999</v>
      </c>
      <c r="E20"/>
      <c r="F20"/>
      <c r="I20" s="11" t="s">
        <v>121</v>
      </c>
      <c r="J20" s="12">
        <v>-15</v>
      </c>
      <c r="K20" s="11" t="s">
        <v>87</v>
      </c>
      <c r="L20" s="12" t="s">
        <v>11</v>
      </c>
    </row>
    <row r="21" spans="1:13" ht="14">
      <c r="C21" s="86" t="s">
        <v>37</v>
      </c>
      <c r="D21" s="87">
        <v>87559.93</v>
      </c>
      <c r="E21"/>
      <c r="F21"/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 s="89" t="s">
        <v>38</v>
      </c>
      <c r="D22" s="90">
        <f>SUM(D20:D21)</f>
        <v>255220.03999999998</v>
      </c>
      <c r="E22"/>
      <c r="F22"/>
      <c r="I22" s="11" t="s">
        <v>144</v>
      </c>
      <c r="J22" s="12">
        <v>-17</v>
      </c>
      <c r="K22" s="11" t="s">
        <v>87</v>
      </c>
      <c r="L22" s="12"/>
    </row>
    <row r="23" spans="1:13">
      <c r="C23" s="92" t="s">
        <v>40</v>
      </c>
      <c r="D23" s="93">
        <f>D24*0.2</f>
        <v>94000</v>
      </c>
      <c r="E23"/>
      <c r="F23" t="s">
        <v>73</v>
      </c>
      <c r="I23" s="11" t="s">
        <v>49</v>
      </c>
      <c r="J23" s="12">
        <v>-800</v>
      </c>
      <c r="K23" s="11" t="s">
        <v>87</v>
      </c>
      <c r="L23" s="12" t="s">
        <v>11</v>
      </c>
    </row>
    <row r="24" spans="1:13" ht="14">
      <c r="C24" s="86" t="s">
        <v>43</v>
      </c>
      <c r="D24" s="87">
        <v>470000</v>
      </c>
      <c r="E24"/>
      <c r="F24"/>
      <c r="I24" s="11" t="s">
        <v>117</v>
      </c>
      <c r="J24" s="12"/>
      <c r="K24" s="11" t="s">
        <v>87</v>
      </c>
      <c r="L24" s="12" t="s">
        <v>11</v>
      </c>
    </row>
    <row r="25" spans="1:13">
      <c r="C25" s="91" t="s">
        <v>46</v>
      </c>
      <c r="D25" s="94">
        <f>SUM(D22:D23)-D24</f>
        <v>-120779.96000000002</v>
      </c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/>
      <c r="D26"/>
      <c r="E26" s="32"/>
      <c r="I26" s="11" t="s">
        <v>102</v>
      </c>
      <c r="J26" s="12">
        <v>-10</v>
      </c>
      <c r="K26" s="11" t="s">
        <v>87</v>
      </c>
      <c r="L26" s="12"/>
    </row>
    <row r="27" spans="1:13">
      <c r="C27" s="31"/>
      <c r="E27" s="32"/>
      <c r="I27" s="11" t="s">
        <v>55</v>
      </c>
      <c r="J27" s="12">
        <v>-33</v>
      </c>
      <c r="K27" s="11" t="s">
        <v>87</v>
      </c>
      <c r="L27" s="12"/>
    </row>
    <row r="28" spans="1:13">
      <c r="C28" s="31"/>
      <c r="E28" s="32"/>
      <c r="I28" s="11" t="s">
        <v>56</v>
      </c>
      <c r="J28" s="12">
        <v>-80</v>
      </c>
      <c r="K28" s="11" t="s">
        <v>87</v>
      </c>
      <c r="L28" s="12" t="s">
        <v>11</v>
      </c>
    </row>
    <row r="29" spans="1:13">
      <c r="C29" s="31" t="s">
        <v>172</v>
      </c>
      <c r="D29" s="98">
        <v>11819</v>
      </c>
      <c r="E29" s="32"/>
      <c r="I29" s="11" t="s">
        <v>13</v>
      </c>
      <c r="J29" s="12">
        <v>-20</v>
      </c>
      <c r="K29" s="11" t="s">
        <v>87</v>
      </c>
      <c r="L29" s="12"/>
      <c r="M29" s="15"/>
    </row>
    <row r="30" spans="1:13">
      <c r="C30" s="112">
        <v>45538</v>
      </c>
      <c r="D30" s="113">
        <f>D29/32</f>
        <v>369.34375</v>
      </c>
      <c r="E30" s="32"/>
      <c r="I30" s="11" t="s">
        <v>57</v>
      </c>
      <c r="J30" s="12">
        <v>-25</v>
      </c>
      <c r="K30" s="11" t="s">
        <v>87</v>
      </c>
      <c r="L30" s="12" t="s">
        <v>11</v>
      </c>
    </row>
    <row r="31" spans="1:13">
      <c r="A31" s="14"/>
      <c r="B31" s="14"/>
      <c r="C31" s="31"/>
      <c r="D31" s="113">
        <f>D30*24</f>
        <v>8864.25</v>
      </c>
      <c r="E31" s="32"/>
      <c r="I31" s="11" t="s">
        <v>80</v>
      </c>
      <c r="J31" s="12">
        <v>-215</v>
      </c>
      <c r="K31" s="11" t="s">
        <v>87</v>
      </c>
      <c r="L31" s="12"/>
    </row>
    <row r="32" spans="1:13">
      <c r="C32" s="31"/>
      <c r="D32" s="113">
        <f>D31-D29</f>
        <v>-2954.75</v>
      </c>
      <c r="E32" s="32"/>
      <c r="G32" s="3">
        <v>720</v>
      </c>
      <c r="H32" s="30"/>
      <c r="I32" s="11" t="s">
        <v>101</v>
      </c>
      <c r="J32" s="12">
        <v>-160</v>
      </c>
      <c r="K32" s="11" t="s">
        <v>87</v>
      </c>
      <c r="L32" s="12"/>
    </row>
    <row r="33" spans="6:12">
      <c r="F33" s="3" t="s">
        <v>174</v>
      </c>
      <c r="G33" s="3">
        <v>225</v>
      </c>
      <c r="H33" s="30"/>
      <c r="I33" s="11" t="s">
        <v>175</v>
      </c>
      <c r="J33" s="12">
        <v>-10</v>
      </c>
      <c r="K33" s="11" t="s">
        <v>87</v>
      </c>
      <c r="L33" s="12"/>
    </row>
    <row r="34" spans="6:12">
      <c r="H34" s="30"/>
      <c r="I34" s="82" t="s">
        <v>79</v>
      </c>
      <c r="J34" s="78">
        <v>-11.7</v>
      </c>
      <c r="K34" s="11" t="s">
        <v>87</v>
      </c>
    </row>
    <row r="35" spans="6:12">
      <c r="H35" s="30"/>
      <c r="I35" s="82" t="s">
        <v>144</v>
      </c>
      <c r="J35" s="78">
        <v>-50</v>
      </c>
      <c r="K35" s="82" t="s">
        <v>87</v>
      </c>
    </row>
    <row r="36" spans="6:12">
      <c r="H36" s="30"/>
    </row>
    <row r="37" spans="6:12">
      <c r="H37" s="30"/>
    </row>
    <row r="38" spans="6:12">
      <c r="H38" s="30"/>
    </row>
    <row r="39" spans="6:12">
      <c r="H39" s="30"/>
    </row>
    <row r="40" spans="6:12">
      <c r="H40" s="30"/>
    </row>
    <row r="41" spans="6:12">
      <c r="H41" s="30"/>
    </row>
    <row r="42" spans="6:12">
      <c r="H42" s="30"/>
    </row>
    <row r="43" spans="6:12">
      <c r="H43" s="30"/>
    </row>
    <row r="44" spans="6:12">
      <c r="H44" s="30"/>
    </row>
    <row r="45" spans="6:12">
      <c r="H45" s="30"/>
    </row>
    <row r="46" spans="6:12">
      <c r="H46" s="30"/>
    </row>
    <row r="47" spans="6:12">
      <c r="H47" s="30"/>
    </row>
    <row r="48" spans="6:12">
      <c r="H48" s="30"/>
    </row>
  </sheetData>
  <autoFilter ref="I2:L33" xr:uid="{00000000-0009-0000-0000-000013000000}"/>
  <conditionalFormatting sqref="I3:L3 I4:J12 L4:L32 K4:K35 I13 I14:J32 I34:J35">
    <cfRule type="expression" dxfId="69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"/>
  <dimension ref="A1:IS48"/>
  <sheetViews>
    <sheetView topLeftCell="B1" zoomScale="220" zoomScaleNormal="220" workbookViewId="0">
      <selection activeCell="D5" sqref="D5"/>
    </sheetView>
  </sheetViews>
  <sheetFormatPr defaultColWidth="0" defaultRowHeight="14.5"/>
  <cols>
    <col min="1" max="2" width="1.08203125" style="3" customWidth="1"/>
    <col min="3" max="3" width="23.5" style="1" bestFit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14">
        <v>4120.7700000000004</v>
      </c>
      <c r="E3" s="3"/>
      <c r="F3" s="7" t="s">
        <v>1</v>
      </c>
      <c r="G3" s="4">
        <v>190</v>
      </c>
      <c r="I3" s="11" t="s">
        <v>7</v>
      </c>
      <c r="J3" s="12">
        <v>-797</v>
      </c>
      <c r="K3" s="11" t="s">
        <v>87</v>
      </c>
      <c r="L3" s="12"/>
    </row>
    <row r="4" spans="3:12">
      <c r="C4" s="187" t="s">
        <v>9</v>
      </c>
      <c r="D4" s="188">
        <f>SUMIF(K3:K29,"Yes*",J3:J29)</f>
        <v>-4018.96</v>
      </c>
      <c r="E4" s="3"/>
      <c r="F4" s="6"/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14">
        <v>9.43</v>
      </c>
      <c r="E5" s="3"/>
      <c r="F5" s="24" t="s">
        <v>181</v>
      </c>
      <c r="G5" s="25">
        <v>1900</v>
      </c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SUMIF(K3:K39,"No",J3:J39)</f>
        <v>-7.4</v>
      </c>
      <c r="E6" s="3"/>
      <c r="F6" s="24" t="s">
        <v>182</v>
      </c>
      <c r="G6" s="25">
        <v>1500</v>
      </c>
      <c r="I6" s="11" t="s">
        <v>17</v>
      </c>
      <c r="J6" s="12">
        <v>-35</v>
      </c>
      <c r="K6" s="11" t="s">
        <v>87</v>
      </c>
      <c r="L6" s="12"/>
    </row>
    <row r="7" spans="3:12" ht="15" thickBot="1">
      <c r="C7" s="28" t="s">
        <v>18</v>
      </c>
      <c r="D7" s="29">
        <f>D6+D5</f>
        <v>2.0299999999999994</v>
      </c>
      <c r="E7" s="3" t="s">
        <v>19</v>
      </c>
      <c r="F7" s="24" t="s">
        <v>20</v>
      </c>
      <c r="G7" s="25">
        <v>300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-1979.3</v>
      </c>
      <c r="E8" s="30"/>
      <c r="F8" s="24"/>
      <c r="G8" s="25"/>
      <c r="I8" s="11" t="s">
        <v>24</v>
      </c>
      <c r="J8" s="12">
        <v>-217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87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 s="84">
        <f>D5-D10</f>
        <v>-4032.57</v>
      </c>
      <c r="E11"/>
      <c r="F11" s="26" t="s">
        <v>28</v>
      </c>
      <c r="G11" s="27">
        <f>SUM(G3:G10)</f>
        <v>3890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-10.99</v>
      </c>
      <c r="K12" s="11" t="s">
        <v>87</v>
      </c>
      <c r="L12" s="12"/>
    </row>
    <row r="13" spans="3:12" ht="15" thickBot="1">
      <c r="C13" s="115" t="s">
        <v>166</v>
      </c>
      <c r="D13" s="116">
        <v>4172.91</v>
      </c>
      <c r="E13"/>
      <c r="F13" s="108"/>
      <c r="G13" s="109"/>
      <c r="I13" s="11" t="s">
        <v>32</v>
      </c>
      <c r="J13" s="101">
        <v>-31.67</v>
      </c>
      <c r="K13" s="11" t="s">
        <v>87</v>
      </c>
      <c r="L13" s="12"/>
    </row>
    <row r="14" spans="3:12" ht="14">
      <c r="C14" t="s">
        <v>167</v>
      </c>
      <c r="D14">
        <v>3945</v>
      </c>
      <c r="E14"/>
      <c r="F14"/>
      <c r="I14" s="11" t="s">
        <v>33</v>
      </c>
      <c r="J14" s="12">
        <v>-204</v>
      </c>
      <c r="K14" s="11" t="s">
        <v>87</v>
      </c>
      <c r="L14" s="12"/>
    </row>
    <row r="15" spans="3:12">
      <c r="C15" s="31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>
      <c r="C16" s="31"/>
      <c r="E16"/>
      <c r="F16" t="s">
        <v>168</v>
      </c>
      <c r="G16" s="3">
        <v>4201.28</v>
      </c>
      <c r="I16" s="11" t="s">
        <v>36</v>
      </c>
      <c r="J16" s="12">
        <v>-6.25</v>
      </c>
      <c r="K16" s="11" t="s">
        <v>87</v>
      </c>
      <c r="L16" s="12"/>
    </row>
    <row r="17" spans="1:13">
      <c r="C17" s="31"/>
      <c r="E17"/>
      <c r="F17" t="s">
        <v>169</v>
      </c>
      <c r="G17" s="3" t="s">
        <v>170</v>
      </c>
      <c r="I17" s="11" t="s">
        <v>34</v>
      </c>
      <c r="J17" s="12">
        <v>-35</v>
      </c>
      <c r="K17" s="11" t="s">
        <v>87</v>
      </c>
      <c r="L17" s="12"/>
    </row>
    <row r="18" spans="1:13">
      <c r="C18" s="31"/>
      <c r="E18"/>
      <c r="F18">
        <v>4369</v>
      </c>
      <c r="I18" s="11" t="s">
        <v>39</v>
      </c>
      <c r="J18" s="12">
        <v>-3</v>
      </c>
      <c r="K18" s="11" t="s">
        <v>87</v>
      </c>
      <c r="L18" s="12"/>
    </row>
    <row r="19" spans="1:13" ht="14">
      <c r="C19" s="88" t="s">
        <v>7</v>
      </c>
      <c r="D19"/>
      <c r="E19"/>
      <c r="F19"/>
      <c r="I19" s="11" t="s">
        <v>42</v>
      </c>
      <c r="J19" s="12">
        <v>-725</v>
      </c>
      <c r="K19" s="11" t="s">
        <v>87</v>
      </c>
      <c r="L19" s="12" t="s">
        <v>11</v>
      </c>
    </row>
    <row r="20" spans="1:13" ht="14">
      <c r="C20" s="86" t="s">
        <v>35</v>
      </c>
      <c r="D20" s="87">
        <v>167660.10999999999</v>
      </c>
      <c r="E20"/>
      <c r="F20"/>
      <c r="I20" s="11" t="s">
        <v>116</v>
      </c>
      <c r="J20" s="12">
        <v>-160</v>
      </c>
      <c r="K20" s="11" t="s">
        <v>87</v>
      </c>
      <c r="L20" s="12"/>
    </row>
    <row r="21" spans="1:13" ht="14">
      <c r="C21" s="86" t="s">
        <v>37</v>
      </c>
      <c r="D21" s="87">
        <v>87559.93</v>
      </c>
      <c r="E21"/>
      <c r="F21"/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 s="89" t="s">
        <v>38</v>
      </c>
      <c r="D22" s="90">
        <f>SUM(D20:D21)</f>
        <v>255220.03999999998</v>
      </c>
      <c r="E22"/>
      <c r="F22"/>
      <c r="I22" s="11" t="s">
        <v>183</v>
      </c>
      <c r="J22" s="12"/>
      <c r="K22" s="11" t="s">
        <v>8</v>
      </c>
      <c r="L22" s="12"/>
    </row>
    <row r="23" spans="1:13">
      <c r="C23" s="92" t="s">
        <v>40</v>
      </c>
      <c r="D23" s="93">
        <f>D24*0.2</f>
        <v>94000</v>
      </c>
      <c r="E23"/>
      <c r="F23"/>
      <c r="I23" s="11" t="s">
        <v>49</v>
      </c>
      <c r="J23" s="12">
        <v>-850</v>
      </c>
      <c r="K23" s="11" t="s">
        <v>87</v>
      </c>
      <c r="L23" s="12" t="s">
        <v>11</v>
      </c>
    </row>
    <row r="24" spans="1:13" ht="14">
      <c r="C24" s="86" t="s">
        <v>43</v>
      </c>
      <c r="D24" s="87">
        <v>470000</v>
      </c>
      <c r="E24"/>
      <c r="F24"/>
      <c r="I24" s="11" t="s">
        <v>117</v>
      </c>
      <c r="J24" s="12">
        <v>-42</v>
      </c>
      <c r="K24" s="11" t="s">
        <v>87</v>
      </c>
      <c r="L24" s="12" t="s">
        <v>11</v>
      </c>
    </row>
    <row r="25" spans="1:13">
      <c r="C25" s="91" t="s">
        <v>46</v>
      </c>
      <c r="D25" s="94">
        <f>SUM(D22:D23)-D24</f>
        <v>-120779.96000000002</v>
      </c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/>
      <c r="D26"/>
      <c r="E26" s="32"/>
      <c r="I26" s="11" t="s">
        <v>102</v>
      </c>
      <c r="J26" s="12">
        <v>-10</v>
      </c>
      <c r="K26" s="11" t="s">
        <v>87</v>
      </c>
      <c r="L26" s="12"/>
    </row>
    <row r="27" spans="1:13">
      <c r="C27" s="31"/>
      <c r="E27" s="32"/>
      <c r="I27" s="11" t="s">
        <v>55</v>
      </c>
      <c r="J27" s="12">
        <v>-33</v>
      </c>
      <c r="K27" s="11" t="s">
        <v>87</v>
      </c>
      <c r="L27" s="12"/>
    </row>
    <row r="28" spans="1:13">
      <c r="C28" s="31"/>
      <c r="E28" s="32"/>
      <c r="I28" s="11" t="s">
        <v>56</v>
      </c>
      <c r="J28" s="12">
        <v>-80</v>
      </c>
      <c r="K28" s="11" t="s">
        <v>87</v>
      </c>
      <c r="L28" s="12" t="s">
        <v>11</v>
      </c>
    </row>
    <row r="29" spans="1:13">
      <c r="C29" s="31" t="s">
        <v>172</v>
      </c>
      <c r="D29" s="98">
        <v>11819</v>
      </c>
      <c r="E29" s="32"/>
      <c r="I29" s="11" t="s">
        <v>13</v>
      </c>
      <c r="J29" s="12">
        <v>-20</v>
      </c>
      <c r="K29" s="11" t="s">
        <v>87</v>
      </c>
      <c r="L29" s="12"/>
      <c r="M29" s="15"/>
    </row>
    <row r="30" spans="1:13">
      <c r="C30" s="112">
        <v>45538</v>
      </c>
      <c r="D30" s="113">
        <f>D29/32</f>
        <v>369.34375</v>
      </c>
      <c r="E30" s="32"/>
      <c r="I30" s="11" t="s">
        <v>57</v>
      </c>
      <c r="J30" s="12">
        <v>-25</v>
      </c>
      <c r="K30" s="11" t="s">
        <v>87</v>
      </c>
      <c r="L30" s="12" t="s">
        <v>11</v>
      </c>
    </row>
    <row r="31" spans="1:13">
      <c r="A31" s="14"/>
      <c r="B31" s="14"/>
      <c r="C31" s="31"/>
      <c r="D31" s="113">
        <f>D30*24</f>
        <v>8864.25</v>
      </c>
      <c r="E31" s="32"/>
      <c r="I31" s="11" t="s">
        <v>60</v>
      </c>
      <c r="J31" s="12">
        <v>-30</v>
      </c>
      <c r="K31" s="11" t="s">
        <v>87</v>
      </c>
      <c r="L31" s="12"/>
    </row>
    <row r="32" spans="1:13">
      <c r="C32" s="31"/>
      <c r="D32" s="113">
        <f>D31-D29</f>
        <v>-2954.75</v>
      </c>
      <c r="E32" s="32"/>
      <c r="G32" s="3">
        <v>720</v>
      </c>
      <c r="H32" s="30"/>
      <c r="I32" s="11" t="s">
        <v>184</v>
      </c>
      <c r="J32" s="12">
        <v>-70</v>
      </c>
      <c r="K32" s="11" t="s">
        <v>87</v>
      </c>
      <c r="L32" s="12"/>
    </row>
    <row r="33" spans="6:12">
      <c r="F33" s="3" t="s">
        <v>174</v>
      </c>
      <c r="G33" s="3">
        <v>225</v>
      </c>
      <c r="H33" s="30"/>
      <c r="I33" s="11" t="s">
        <v>174</v>
      </c>
      <c r="J33" s="12">
        <v>-60</v>
      </c>
      <c r="K33" s="11" t="s">
        <v>87</v>
      </c>
      <c r="L33" s="12"/>
    </row>
    <row r="34" spans="6:12">
      <c r="H34" s="30"/>
      <c r="I34" s="82" t="s">
        <v>185</v>
      </c>
      <c r="J34" s="78">
        <v>-500</v>
      </c>
      <c r="K34" s="11" t="s">
        <v>87</v>
      </c>
    </row>
    <row r="35" spans="6:12">
      <c r="H35" s="30"/>
      <c r="K35" s="82" t="s">
        <v>8</v>
      </c>
    </row>
    <row r="36" spans="6:12">
      <c r="H36" s="30"/>
    </row>
    <row r="37" spans="6:12">
      <c r="H37" s="30"/>
    </row>
    <row r="38" spans="6:12">
      <c r="H38" s="30"/>
    </row>
    <row r="39" spans="6:12">
      <c r="H39" s="30"/>
    </row>
    <row r="40" spans="6:12">
      <c r="H40" s="30"/>
    </row>
    <row r="41" spans="6:12">
      <c r="H41" s="30"/>
    </row>
    <row r="42" spans="6:12">
      <c r="H42" s="30"/>
    </row>
    <row r="43" spans="6:12">
      <c r="H43" s="30"/>
    </row>
    <row r="44" spans="6:12">
      <c r="H44" s="30"/>
    </row>
    <row r="45" spans="6:12">
      <c r="H45" s="30"/>
    </row>
    <row r="46" spans="6:12">
      <c r="H46" s="30"/>
    </row>
    <row r="47" spans="6:12">
      <c r="H47" s="30"/>
    </row>
    <row r="48" spans="6:12">
      <c r="H48" s="30"/>
    </row>
  </sheetData>
  <autoFilter ref="I2:L33" xr:uid="{00000000-0009-0000-0000-000014000000}"/>
  <conditionalFormatting sqref="I3:L3 I4:J12 L4:L32 K4:K35 I13 I14:J32 I34:J34">
    <cfRule type="expression" dxfId="68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"/>
  <dimension ref="A1:IS48"/>
  <sheetViews>
    <sheetView zoomScale="220" zoomScaleNormal="220" workbookViewId="0">
      <selection activeCell="D5" sqref="D5"/>
    </sheetView>
  </sheetViews>
  <sheetFormatPr defaultColWidth="0" defaultRowHeight="14.5"/>
  <cols>
    <col min="1" max="2" width="1.08203125" style="3" customWidth="1"/>
    <col min="3" max="3" width="23.5" style="1" bestFit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14">
        <v>4608.2</v>
      </c>
      <c r="E3" s="3"/>
      <c r="F3" s="7" t="s">
        <v>1</v>
      </c>
      <c r="G3" s="4">
        <v>208</v>
      </c>
      <c r="I3" s="11" t="s">
        <v>7</v>
      </c>
      <c r="J3" s="12">
        <v>-797</v>
      </c>
      <c r="K3" s="11" t="s">
        <v>87</v>
      </c>
      <c r="L3" s="12"/>
    </row>
    <row r="4" spans="3:12">
      <c r="C4" s="187" t="s">
        <v>9</v>
      </c>
      <c r="D4" s="188">
        <f>SUMIF(K3:K29,"Yes*",J3:J29)</f>
        <v>-3964.36</v>
      </c>
      <c r="E4" s="3"/>
      <c r="F4" s="6"/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14">
        <v>73.290000000000006</v>
      </c>
      <c r="E5" s="3"/>
      <c r="F5" s="24"/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SUMIF(K3:K39,"No",J3:J39)</f>
        <v>-65</v>
      </c>
      <c r="E6" s="3"/>
      <c r="F6" s="24" t="s">
        <v>182</v>
      </c>
      <c r="G6" s="25">
        <v>1500</v>
      </c>
      <c r="I6" s="11" t="s">
        <v>17</v>
      </c>
      <c r="J6" s="12">
        <v>-35</v>
      </c>
      <c r="K6" s="11" t="s">
        <v>87</v>
      </c>
      <c r="L6" s="12"/>
    </row>
    <row r="7" spans="3:12" ht="15" thickBot="1">
      <c r="C7" s="28" t="s">
        <v>18</v>
      </c>
      <c r="D7" s="29">
        <f>D6+D5</f>
        <v>8.2900000000000063</v>
      </c>
      <c r="E7" s="3" t="s">
        <v>19</v>
      </c>
      <c r="F7" s="24" t="s">
        <v>20</v>
      </c>
      <c r="G7" s="25">
        <v>260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-1960.3</v>
      </c>
      <c r="E8" s="30"/>
      <c r="F8" s="24" t="s">
        <v>116</v>
      </c>
      <c r="G8" s="25">
        <v>560</v>
      </c>
      <c r="I8" s="11" t="s">
        <v>24</v>
      </c>
      <c r="J8" s="12">
        <v>-217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87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 s="84">
        <f>D5-D10</f>
        <v>-3968.71</v>
      </c>
      <c r="E11"/>
      <c r="F11" s="26" t="s">
        <v>28</v>
      </c>
      <c r="G11" s="27">
        <f>SUM(G3:G10)</f>
        <v>2528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-10.99</v>
      </c>
      <c r="K12" s="11" t="s">
        <v>87</v>
      </c>
      <c r="L12" s="12"/>
    </row>
    <row r="13" spans="3:12" ht="15" thickBot="1">
      <c r="C13" s="115" t="s">
        <v>166</v>
      </c>
      <c r="D13" s="116">
        <v>4172.91</v>
      </c>
      <c r="E13"/>
      <c r="F13" s="108"/>
      <c r="G13" s="109"/>
      <c r="I13" s="11" t="s">
        <v>32</v>
      </c>
      <c r="J13" s="101">
        <v>-31.67</v>
      </c>
      <c r="K13" s="11" t="s">
        <v>87</v>
      </c>
      <c r="L13" s="12"/>
    </row>
    <row r="14" spans="3:12" ht="14">
      <c r="C14" t="s">
        <v>167</v>
      </c>
      <c r="D14">
        <v>3945</v>
      </c>
      <c r="E14"/>
      <c r="F14"/>
      <c r="I14" s="11" t="s">
        <v>33</v>
      </c>
      <c r="J14" s="12">
        <v>-204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 t="s">
        <v>168</v>
      </c>
      <c r="G16" s="3">
        <v>4201.28</v>
      </c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 t="s">
        <v>169</v>
      </c>
      <c r="G17" s="3" t="s">
        <v>170</v>
      </c>
      <c r="I17" s="11" t="s">
        <v>34</v>
      </c>
      <c r="J17" s="12">
        <v>-35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>
        <v>4369</v>
      </c>
      <c r="I18" s="11" t="s">
        <v>39</v>
      </c>
      <c r="J18" s="12">
        <v>-3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/>
      <c r="I19" s="11" t="s">
        <v>42</v>
      </c>
      <c r="J19" s="12">
        <v>-648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/>
      <c r="I20" s="11" t="s">
        <v>116</v>
      </c>
      <c r="J20" s="12">
        <v>-130</v>
      </c>
      <c r="K20" s="11" t="s">
        <v>87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/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/>
      <c r="I22" s="11" t="s">
        <v>186</v>
      </c>
      <c r="J22" s="12">
        <v>-7</v>
      </c>
      <c r="K22" s="11" t="s">
        <v>87</v>
      </c>
      <c r="L22" s="12"/>
    </row>
    <row r="23" spans="1:13">
      <c r="C23" s="31"/>
      <c r="E23"/>
      <c r="F23"/>
      <c r="I23" s="11" t="s">
        <v>49</v>
      </c>
      <c r="J23" s="12">
        <v>-950</v>
      </c>
      <c r="K23" s="11" t="s">
        <v>87</v>
      </c>
      <c r="L23" s="12" t="s">
        <v>11</v>
      </c>
    </row>
    <row r="24" spans="1:13">
      <c r="C24" s="31"/>
      <c r="E24"/>
      <c r="F24"/>
      <c r="I24" s="11" t="s">
        <v>117</v>
      </c>
      <c r="J24" s="12"/>
      <c r="K24" s="11" t="s">
        <v>8</v>
      </c>
      <c r="L24" s="12" t="s">
        <v>11</v>
      </c>
    </row>
    <row r="25" spans="1:13">
      <c r="C25" s="31" t="s">
        <v>172</v>
      </c>
      <c r="D25" s="98">
        <v>11819</v>
      </c>
      <c r="E25" s="32"/>
      <c r="I25" s="11" t="s">
        <v>52</v>
      </c>
      <c r="J25" s="12">
        <v>-7.4</v>
      </c>
      <c r="K25" s="11" t="s">
        <v>87</v>
      </c>
      <c r="L25" s="12"/>
    </row>
    <row r="26" spans="1:13">
      <c r="C26" s="112">
        <v>45538</v>
      </c>
      <c r="D26" s="113">
        <f>D25/32</f>
        <v>369.34375</v>
      </c>
      <c r="E26" s="32"/>
      <c r="I26" s="11" t="s">
        <v>102</v>
      </c>
      <c r="J26" s="12">
        <v>-10</v>
      </c>
      <c r="K26" s="11" t="s">
        <v>87</v>
      </c>
      <c r="L26" s="12"/>
    </row>
    <row r="27" spans="1:13">
      <c r="C27" s="31"/>
      <c r="D27" s="113">
        <f>D26*24</f>
        <v>8864.25</v>
      </c>
      <c r="E27" s="32"/>
      <c r="I27" s="11" t="s">
        <v>55</v>
      </c>
      <c r="J27" s="12">
        <v>-33</v>
      </c>
      <c r="K27" s="11" t="s">
        <v>87</v>
      </c>
      <c r="L27" s="12"/>
    </row>
    <row r="28" spans="1:13">
      <c r="C28" s="31"/>
      <c r="D28" s="113">
        <f>D27-D25</f>
        <v>-2954.75</v>
      </c>
      <c r="E28" s="32"/>
      <c r="I28" s="11" t="s">
        <v>56</v>
      </c>
      <c r="J28" s="12">
        <v>-80</v>
      </c>
      <c r="K28" s="11" t="s">
        <v>87</v>
      </c>
      <c r="L28" s="12" t="s">
        <v>11</v>
      </c>
    </row>
    <row r="29" spans="1:13">
      <c r="C29" s="31"/>
      <c r="E29" s="32"/>
      <c r="I29" s="11" t="s">
        <v>13</v>
      </c>
      <c r="J29" s="12"/>
      <c r="K29" s="11" t="s">
        <v>8</v>
      </c>
      <c r="L29" s="12"/>
      <c r="M29" s="15"/>
    </row>
    <row r="30" spans="1:13">
      <c r="C30" s="31"/>
      <c r="E30" s="32"/>
      <c r="I30" s="11" t="s">
        <v>57</v>
      </c>
      <c r="J30" s="12">
        <v>-25</v>
      </c>
      <c r="K30" s="11" t="s">
        <v>87</v>
      </c>
      <c r="L30" s="12" t="s">
        <v>11</v>
      </c>
    </row>
    <row r="31" spans="1:13">
      <c r="A31" s="14"/>
      <c r="B31" s="14"/>
      <c r="C31" s="31"/>
      <c r="E31" s="32"/>
      <c r="I31" s="11" t="s">
        <v>60</v>
      </c>
      <c r="J31" s="12">
        <v>-380</v>
      </c>
      <c r="K31" s="11" t="s">
        <v>87</v>
      </c>
      <c r="L31" s="12"/>
    </row>
    <row r="32" spans="1:13">
      <c r="C32" s="31"/>
      <c r="E32" s="32"/>
      <c r="H32" s="30"/>
      <c r="I32" s="11" t="s">
        <v>187</v>
      </c>
      <c r="J32" s="12">
        <v>-100</v>
      </c>
      <c r="K32" s="11" t="s">
        <v>87</v>
      </c>
      <c r="L32" s="12"/>
    </row>
    <row r="33" spans="8:12">
      <c r="H33" s="30"/>
      <c r="I33" s="11" t="s">
        <v>188</v>
      </c>
      <c r="J33" s="12">
        <v>-20</v>
      </c>
      <c r="K33" s="11" t="s">
        <v>87</v>
      </c>
      <c r="L33" s="12"/>
    </row>
    <row r="34" spans="8:12">
      <c r="H34" s="30"/>
      <c r="I34" s="82" t="s">
        <v>183</v>
      </c>
      <c r="J34" s="78">
        <v>-65</v>
      </c>
      <c r="K34" s="11" t="s">
        <v>8</v>
      </c>
    </row>
    <row r="35" spans="8:12">
      <c r="H35" s="30"/>
      <c r="K35" s="82" t="s">
        <v>8</v>
      </c>
    </row>
    <row r="36" spans="8:12">
      <c r="H36" s="30"/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15000000}"/>
  <conditionalFormatting sqref="I3:L3 I4:J12 L4:L32 K4:K35 I13 I14:J32 I34:J34">
    <cfRule type="expression" dxfId="67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"/>
  <dimension ref="A1:IS48"/>
  <sheetViews>
    <sheetView zoomScale="205" zoomScaleNormal="205" workbookViewId="0">
      <selection activeCell="D5" sqref="D5"/>
    </sheetView>
  </sheetViews>
  <sheetFormatPr defaultColWidth="0" defaultRowHeight="14.5"/>
  <cols>
    <col min="1" max="2" width="1.08203125" style="3" customWidth="1"/>
    <col min="3" max="3" width="23.5" style="1" bestFit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14">
        <v>4459</v>
      </c>
      <c r="E3" s="3"/>
      <c r="F3" s="7" t="s">
        <v>1</v>
      </c>
      <c r="G3" s="4">
        <v>305</v>
      </c>
      <c r="I3" s="11" t="s">
        <v>7</v>
      </c>
      <c r="J3" s="12">
        <v>-797</v>
      </c>
      <c r="K3" s="11" t="s">
        <v>87</v>
      </c>
      <c r="L3" s="12"/>
    </row>
    <row r="4" spans="3:12">
      <c r="C4" s="187" t="s">
        <v>9</v>
      </c>
      <c r="D4" s="188">
        <f>SUMIF(K3:K29,"Yes*",J3:J29)</f>
        <v>-4108.3600000000006</v>
      </c>
      <c r="E4" s="3"/>
      <c r="F4" s="6"/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14">
        <v>38.57</v>
      </c>
      <c r="E5" s="3"/>
      <c r="F5" s="24" t="s">
        <v>13</v>
      </c>
      <c r="G5" s="25">
        <v>80</v>
      </c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SUMIF(K3:K39,"No",J3:J39)</f>
        <v>-38</v>
      </c>
      <c r="E6" s="3"/>
      <c r="F6" s="24"/>
      <c r="G6" s="25"/>
      <c r="I6" s="11" t="s">
        <v>17</v>
      </c>
      <c r="J6" s="12">
        <v>-35</v>
      </c>
      <c r="K6" s="11" t="s">
        <v>87</v>
      </c>
      <c r="L6" s="12"/>
    </row>
    <row r="7" spans="3:12" ht="15" thickBot="1">
      <c r="C7" s="28" t="s">
        <v>18</v>
      </c>
      <c r="D7" s="29">
        <f>D6+D5</f>
        <v>0.57000000000000028</v>
      </c>
      <c r="E7" s="3" t="s">
        <v>19</v>
      </c>
      <c r="F7" s="24" t="s">
        <v>20</v>
      </c>
      <c r="G7" s="25">
        <v>260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-1995.3</v>
      </c>
      <c r="E8" s="30"/>
      <c r="F8" s="24" t="s">
        <v>116</v>
      </c>
      <c r="G8" s="25">
        <v>430</v>
      </c>
      <c r="I8" s="11" t="s">
        <v>24</v>
      </c>
      <c r="J8" s="12">
        <v>-217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87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 s="84">
        <f>D5-D10</f>
        <v>-4003.43</v>
      </c>
      <c r="E11"/>
      <c r="F11" s="26" t="s">
        <v>28</v>
      </c>
      <c r="G11" s="27">
        <f>SUM(G3:G10)</f>
        <v>1075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-10.99</v>
      </c>
      <c r="K12" s="11" t="s">
        <v>87</v>
      </c>
      <c r="L12" s="12"/>
    </row>
    <row r="13" spans="3:12" ht="15" thickBot="1">
      <c r="C13" s="115" t="s">
        <v>166</v>
      </c>
      <c r="D13" s="116">
        <v>4172.91</v>
      </c>
      <c r="E13"/>
      <c r="F13" s="108"/>
      <c r="G13" s="109"/>
      <c r="I13" s="11" t="s">
        <v>32</v>
      </c>
      <c r="J13" s="101">
        <v>-31.67</v>
      </c>
      <c r="K13" s="11" t="s">
        <v>87</v>
      </c>
      <c r="L13" s="12"/>
    </row>
    <row r="14" spans="3:12" ht="14">
      <c r="C14" t="s">
        <v>167</v>
      </c>
      <c r="D14">
        <v>3945</v>
      </c>
      <c r="E14"/>
      <c r="F14"/>
      <c r="I14" s="11" t="s">
        <v>33</v>
      </c>
      <c r="J14" s="12">
        <v>-204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 t="s">
        <v>168</v>
      </c>
      <c r="G16" s="3">
        <v>4201.28</v>
      </c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 t="s">
        <v>169</v>
      </c>
      <c r="G17" s="3" t="s">
        <v>170</v>
      </c>
      <c r="I17" s="11" t="s">
        <v>34</v>
      </c>
      <c r="J17" s="12">
        <v>-35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>
        <v>4369</v>
      </c>
      <c r="I18" s="11" t="s">
        <v>39</v>
      </c>
      <c r="J18" s="12">
        <v>-3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/>
      <c r="I19" s="11" t="s">
        <v>42</v>
      </c>
      <c r="J19" s="12">
        <v>-748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/>
      <c r="I20" s="11" t="s">
        <v>116</v>
      </c>
      <c r="J20" s="12">
        <v>-150</v>
      </c>
      <c r="K20" s="11" t="s">
        <v>87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/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/>
      <c r="I22" s="11" t="s">
        <v>186</v>
      </c>
      <c r="J22" s="12">
        <v>-96</v>
      </c>
      <c r="K22" s="11" t="s">
        <v>87</v>
      </c>
      <c r="L22" s="12"/>
    </row>
    <row r="23" spans="1:13">
      <c r="C23" s="31"/>
      <c r="E23"/>
      <c r="F23"/>
      <c r="I23" s="11" t="s">
        <v>49</v>
      </c>
      <c r="J23" s="12">
        <v>-800</v>
      </c>
      <c r="K23" s="11" t="s">
        <v>87</v>
      </c>
      <c r="L23" s="12" t="s">
        <v>11</v>
      </c>
    </row>
    <row r="24" spans="1:13">
      <c r="C24" s="31"/>
      <c r="E24"/>
      <c r="F24"/>
      <c r="I24" s="11" t="s">
        <v>117</v>
      </c>
      <c r="J24" s="12">
        <v>-85</v>
      </c>
      <c r="K24" s="11" t="s">
        <v>87</v>
      </c>
      <c r="L24" s="12" t="s">
        <v>11</v>
      </c>
    </row>
    <row r="25" spans="1:13">
      <c r="C25" s="31" t="s">
        <v>172</v>
      </c>
      <c r="D25" s="98">
        <v>11819</v>
      </c>
      <c r="E25" s="32"/>
      <c r="I25" s="11" t="s">
        <v>52</v>
      </c>
      <c r="J25" s="12">
        <v>-7.4</v>
      </c>
      <c r="K25" s="11" t="s">
        <v>87</v>
      </c>
      <c r="L25" s="12"/>
    </row>
    <row r="26" spans="1:13">
      <c r="C26" s="112">
        <v>45538</v>
      </c>
      <c r="D26" s="113">
        <f>D25/32</f>
        <v>369.34375</v>
      </c>
      <c r="E26" s="32"/>
      <c r="I26" s="11" t="s">
        <v>102</v>
      </c>
      <c r="J26" s="12">
        <v>-10</v>
      </c>
      <c r="K26" s="11" t="s">
        <v>87</v>
      </c>
      <c r="L26" s="12"/>
    </row>
    <row r="27" spans="1:13">
      <c r="C27" s="31"/>
      <c r="D27" s="113">
        <f>D26*24</f>
        <v>8864.25</v>
      </c>
      <c r="E27" s="32"/>
      <c r="I27" s="11" t="s">
        <v>55</v>
      </c>
      <c r="J27" s="12">
        <v>-33</v>
      </c>
      <c r="K27" s="11" t="s">
        <v>87</v>
      </c>
      <c r="L27" s="12"/>
    </row>
    <row r="28" spans="1:13">
      <c r="C28" s="31"/>
      <c r="D28" s="113">
        <f>D27-D25</f>
        <v>-2954.75</v>
      </c>
      <c r="E28" s="32"/>
      <c r="I28" s="11" t="s">
        <v>56</v>
      </c>
      <c r="J28" s="12">
        <v>-80</v>
      </c>
      <c r="K28" s="11" t="s">
        <v>87</v>
      </c>
      <c r="L28" s="12" t="s">
        <v>11</v>
      </c>
    </row>
    <row r="29" spans="1:13">
      <c r="C29" s="31"/>
      <c r="E29" s="32"/>
      <c r="I29" s="11" t="s">
        <v>13</v>
      </c>
      <c r="J29" s="12">
        <v>-38</v>
      </c>
      <c r="K29" s="11" t="s">
        <v>8</v>
      </c>
      <c r="L29" s="12"/>
      <c r="M29" s="15"/>
    </row>
    <row r="30" spans="1:13">
      <c r="C30" s="31"/>
      <c r="E30" s="32"/>
      <c r="I30" s="11" t="s">
        <v>57</v>
      </c>
      <c r="J30" s="12">
        <v>-25</v>
      </c>
      <c r="K30" s="11" t="s">
        <v>87</v>
      </c>
      <c r="L30" s="12" t="s">
        <v>11</v>
      </c>
    </row>
    <row r="31" spans="1:13">
      <c r="A31" s="14"/>
      <c r="B31" s="14"/>
      <c r="C31" s="31"/>
      <c r="E31" s="32"/>
      <c r="I31" s="11" t="s">
        <v>60</v>
      </c>
      <c r="J31" s="12">
        <v>-110</v>
      </c>
      <c r="K31" s="11" t="s">
        <v>87</v>
      </c>
      <c r="L31" s="12"/>
    </row>
    <row r="32" spans="1:13">
      <c r="C32" s="31"/>
      <c r="E32" s="32"/>
      <c r="H32" s="30"/>
      <c r="I32" s="11" t="s">
        <v>120</v>
      </c>
      <c r="J32" s="12">
        <v>-60</v>
      </c>
      <c r="K32" s="11" t="s">
        <v>87</v>
      </c>
      <c r="L32" s="12"/>
    </row>
    <row r="33" spans="8:12">
      <c r="H33" s="30"/>
      <c r="I33" s="11" t="s">
        <v>189</v>
      </c>
      <c r="J33" s="12">
        <v>-20</v>
      </c>
      <c r="K33" s="11" t="s">
        <v>87</v>
      </c>
      <c r="L33" s="12"/>
    </row>
    <row r="34" spans="8:12">
      <c r="H34" s="30"/>
      <c r="I34" s="82" t="s">
        <v>185</v>
      </c>
      <c r="J34" s="78">
        <v>-57</v>
      </c>
      <c r="K34" s="11" t="s">
        <v>87</v>
      </c>
    </row>
    <row r="35" spans="8:12">
      <c r="H35" s="30"/>
    </row>
    <row r="36" spans="8:12">
      <c r="H36" s="30"/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16000000}"/>
  <conditionalFormatting sqref="I3:L3 I4:J12 L4:L32 K4:K34 I13 I14:J32 I34:J34">
    <cfRule type="expression" dxfId="66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6"/>
  <dimension ref="A1:IS48"/>
  <sheetViews>
    <sheetView zoomScale="235" zoomScaleNormal="235" workbookViewId="0">
      <selection activeCell="D5" sqref="D5"/>
    </sheetView>
  </sheetViews>
  <sheetFormatPr defaultColWidth="0" defaultRowHeight="14.5"/>
  <cols>
    <col min="1" max="2" width="1.08203125" style="3" customWidth="1"/>
    <col min="3" max="3" width="23.5" style="1" bestFit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14">
        <v>4221.7299999999996</v>
      </c>
      <c r="E3" s="3"/>
      <c r="F3" s="7" t="s">
        <v>1</v>
      </c>
      <c r="G3" s="4">
        <v>310</v>
      </c>
      <c r="I3" s="11" t="s">
        <v>7</v>
      </c>
      <c r="J3" s="12">
        <v>-797</v>
      </c>
      <c r="K3" s="11" t="s">
        <v>87</v>
      </c>
      <c r="L3" s="12"/>
    </row>
    <row r="4" spans="3:12">
      <c r="C4" s="187" t="s">
        <v>9</v>
      </c>
      <c r="D4" s="188">
        <f>SUMIF(K3:K29,"Yes*",J3:J29)</f>
        <v>-4070.51</v>
      </c>
      <c r="E4" s="3"/>
      <c r="F4" s="6"/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14">
        <v>8.33</v>
      </c>
      <c r="E5" s="3"/>
      <c r="F5" s="24" t="s">
        <v>13</v>
      </c>
      <c r="G5" s="25">
        <v>90</v>
      </c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SUMIF(K3:K39,"No",J3:J39)</f>
        <v>-7.4</v>
      </c>
      <c r="E6" s="3"/>
      <c r="F6" s="24"/>
      <c r="G6" s="25"/>
      <c r="I6" s="11" t="s">
        <v>17</v>
      </c>
      <c r="J6" s="12"/>
      <c r="K6" s="11" t="s">
        <v>8</v>
      </c>
      <c r="L6" s="12"/>
    </row>
    <row r="7" spans="3:12" ht="15" thickBot="1">
      <c r="C7" s="28" t="s">
        <v>18</v>
      </c>
      <c r="D7" s="29">
        <f>D6+D5</f>
        <v>0.92999999999999972</v>
      </c>
      <c r="E7" s="3" t="s">
        <v>19</v>
      </c>
      <c r="F7" s="24" t="s">
        <v>20</v>
      </c>
      <c r="G7" s="25">
        <v>222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-1939.3</v>
      </c>
      <c r="E8" s="30"/>
      <c r="F8" s="24" t="s">
        <v>116</v>
      </c>
      <c r="G8" s="25">
        <v>280</v>
      </c>
      <c r="I8" s="11" t="s">
        <v>24</v>
      </c>
      <c r="J8" s="12">
        <v>-217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87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 s="84">
        <f>D5-D10</f>
        <v>-4033.67</v>
      </c>
      <c r="E11"/>
      <c r="F11" s="26" t="s">
        <v>28</v>
      </c>
      <c r="G11" s="27">
        <f>SUM(G3:G10)</f>
        <v>902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-10.99</v>
      </c>
      <c r="K12" s="11" t="s">
        <v>87</v>
      </c>
      <c r="L12" s="12"/>
    </row>
    <row r="13" spans="3:12" ht="15" thickBot="1">
      <c r="C13" s="115" t="s">
        <v>190</v>
      </c>
      <c r="D13" s="116">
        <v>89.03</v>
      </c>
      <c r="E13"/>
      <c r="F13" s="108"/>
      <c r="G13" s="109"/>
      <c r="I13" s="11" t="s">
        <v>32</v>
      </c>
      <c r="J13" s="101">
        <v>-28.22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-204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191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-35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 t="s">
        <v>192</v>
      </c>
      <c r="G18" s="3">
        <v>-6.99</v>
      </c>
      <c r="I18" s="11" t="s">
        <v>39</v>
      </c>
      <c r="J18" s="12">
        <v>-3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193</v>
      </c>
      <c r="G19" s="3">
        <v>-6.99</v>
      </c>
      <c r="I19" s="11" t="s">
        <v>42</v>
      </c>
      <c r="J19" s="12">
        <v>-735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/>
      <c r="I20" s="11" t="s">
        <v>116</v>
      </c>
      <c r="J20" s="12">
        <v>-75</v>
      </c>
      <c r="K20" s="11" t="s">
        <v>87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 t="s">
        <v>194</v>
      </c>
      <c r="G21" s="3">
        <v>-30.48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/>
      <c r="I22" s="11" t="s">
        <v>186</v>
      </c>
      <c r="J22" s="12">
        <v>-155</v>
      </c>
      <c r="K22" s="11" t="s">
        <v>87</v>
      </c>
      <c r="L22" s="12"/>
    </row>
    <row r="23" spans="1:13">
      <c r="C23" s="31"/>
      <c r="E23"/>
      <c r="F23"/>
      <c r="G23" s="3">
        <v>200.05</v>
      </c>
      <c r="I23" s="11" t="s">
        <v>49</v>
      </c>
      <c r="J23" s="12">
        <v>-800</v>
      </c>
      <c r="K23" s="11" t="s">
        <v>87</v>
      </c>
      <c r="L23" s="12" t="s">
        <v>11</v>
      </c>
    </row>
    <row r="24" spans="1:13">
      <c r="C24" s="31"/>
      <c r="E24"/>
      <c r="F24"/>
      <c r="I24" s="11" t="s">
        <v>117</v>
      </c>
      <c r="J24" s="12">
        <v>-37</v>
      </c>
      <c r="K24" s="11" t="s">
        <v>87</v>
      </c>
      <c r="L24" s="12" t="s">
        <v>11</v>
      </c>
    </row>
    <row r="25" spans="1:13">
      <c r="C25" s="31" t="s">
        <v>172</v>
      </c>
      <c r="D25" s="98">
        <v>11819</v>
      </c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112">
        <v>45538</v>
      </c>
      <c r="D26" s="113">
        <f>D25/32</f>
        <v>369.34375</v>
      </c>
      <c r="E26" s="32"/>
      <c r="I26" s="11" t="s">
        <v>102</v>
      </c>
      <c r="J26" s="12"/>
      <c r="K26" s="11" t="s">
        <v>8</v>
      </c>
      <c r="L26" s="12"/>
    </row>
    <row r="27" spans="1:13">
      <c r="C27" s="31"/>
      <c r="D27" s="113">
        <f>D26*24</f>
        <v>8864.25</v>
      </c>
      <c r="E27" s="32"/>
      <c r="I27" s="11" t="s">
        <v>55</v>
      </c>
      <c r="J27" s="12">
        <v>-33</v>
      </c>
      <c r="K27" s="11" t="s">
        <v>87</v>
      </c>
      <c r="L27" s="12"/>
    </row>
    <row r="28" spans="1:13">
      <c r="C28" s="31"/>
      <c r="D28" s="113">
        <f>D27-D25</f>
        <v>-2954.75</v>
      </c>
      <c r="E28" s="32"/>
      <c r="I28" s="11" t="s">
        <v>56</v>
      </c>
      <c r="J28" s="12">
        <v>-85</v>
      </c>
      <c r="K28" s="11" t="s">
        <v>87</v>
      </c>
      <c r="L28" s="12" t="s">
        <v>11</v>
      </c>
    </row>
    <row r="29" spans="1:13">
      <c r="C29" s="31"/>
      <c r="E29" s="32"/>
      <c r="I29" s="11" t="s">
        <v>13</v>
      </c>
      <c r="J29" s="12">
        <v>-90</v>
      </c>
      <c r="K29" s="11" t="s">
        <v>87</v>
      </c>
      <c r="L29" s="12"/>
      <c r="M29" s="15"/>
    </row>
    <row r="30" spans="1:13">
      <c r="C30" s="31"/>
      <c r="E30" s="32"/>
      <c r="I30" s="11" t="s">
        <v>57</v>
      </c>
      <c r="J30" s="12">
        <v>-25</v>
      </c>
      <c r="K30" s="11" t="s">
        <v>87</v>
      </c>
      <c r="L30" s="12" t="s">
        <v>11</v>
      </c>
    </row>
    <row r="31" spans="1:13">
      <c r="A31" s="14"/>
      <c r="B31" s="14"/>
      <c r="C31" s="31"/>
      <c r="E31" s="32"/>
      <c r="I31" s="11" t="s">
        <v>60</v>
      </c>
      <c r="J31" s="12">
        <v>-100</v>
      </c>
      <c r="K31" s="11" t="s">
        <v>87</v>
      </c>
      <c r="L31" s="12"/>
    </row>
    <row r="32" spans="1:13">
      <c r="C32" s="31"/>
      <c r="E32" s="32"/>
      <c r="H32" s="30"/>
      <c r="I32" s="11"/>
      <c r="J32" s="12"/>
      <c r="K32" s="11" t="s">
        <v>8</v>
      </c>
      <c r="L32" s="12"/>
    </row>
    <row r="33" spans="8:12">
      <c r="H33" s="30"/>
      <c r="I33" s="11"/>
      <c r="J33" s="12"/>
      <c r="K33" s="11" t="s">
        <v>8</v>
      </c>
      <c r="L33" s="12"/>
    </row>
    <row r="34" spans="8:12">
      <c r="H34" s="30"/>
      <c r="K34" s="11" t="s">
        <v>8</v>
      </c>
    </row>
    <row r="35" spans="8:12">
      <c r="H35" s="30"/>
    </row>
    <row r="36" spans="8:12">
      <c r="H36" s="30"/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17000000}"/>
  <conditionalFormatting sqref="I3:L3 I4:J12 L4:L32 K4:K34 I13 I14:J32">
    <cfRule type="expression" dxfId="65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7"/>
  <dimension ref="A1:IS48"/>
  <sheetViews>
    <sheetView zoomScale="205" zoomScaleNormal="205" workbookViewId="0">
      <selection activeCell="D5" sqref="D5"/>
    </sheetView>
  </sheetViews>
  <sheetFormatPr defaultColWidth="0" defaultRowHeight="14.5"/>
  <cols>
    <col min="1" max="2" width="1.08203125" style="3" customWidth="1"/>
    <col min="3" max="3" width="23.5" style="1" bestFit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4015.11</v>
      </c>
      <c r="E3" s="3"/>
      <c r="F3" s="7" t="s">
        <v>1</v>
      </c>
      <c r="G3" s="4">
        <v>265</v>
      </c>
      <c r="I3" s="11" t="s">
        <v>7</v>
      </c>
      <c r="J3" s="12">
        <v>-797</v>
      </c>
      <c r="K3" s="11" t="s">
        <v>87</v>
      </c>
      <c r="L3" s="12"/>
    </row>
    <row r="4" spans="3:12" ht="15" thickBot="1">
      <c r="C4" s="187" t="s">
        <v>9</v>
      </c>
      <c r="D4" s="188">
        <f>SUMIF(K3:K29,"Yes*",J3:J29)</f>
        <v>-3643.22</v>
      </c>
      <c r="E4" s="3"/>
      <c r="F4" s="6"/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03">
        <v>117.35</v>
      </c>
      <c r="E5" s="3"/>
      <c r="F5" s="24" t="s">
        <v>13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SUMIF(K3:K39,"No",J3:J39)</f>
        <v>-69.819999999999993</v>
      </c>
      <c r="E6" s="3"/>
      <c r="F6" s="24" t="s">
        <v>195</v>
      </c>
      <c r="G6" s="25"/>
      <c r="I6" s="11" t="s">
        <v>17</v>
      </c>
      <c r="J6" s="12">
        <v>-24.82</v>
      </c>
      <c r="K6" s="11" t="s">
        <v>8</v>
      </c>
      <c r="L6" s="12"/>
    </row>
    <row r="7" spans="3:12" ht="15" thickBot="1">
      <c r="C7" s="28" t="s">
        <v>18</v>
      </c>
      <c r="D7" s="29">
        <f>D6+D5</f>
        <v>47.53</v>
      </c>
      <c r="E7" s="3" t="s">
        <v>19</v>
      </c>
      <c r="F7" s="24" t="s">
        <v>20</v>
      </c>
      <c r="G7" s="25">
        <v>187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-1729.3</v>
      </c>
      <c r="E8" s="30"/>
      <c r="F8" s="24" t="s">
        <v>116</v>
      </c>
      <c r="G8" s="25">
        <v>115</v>
      </c>
      <c r="I8" s="11" t="s">
        <v>24</v>
      </c>
      <c r="J8" s="12">
        <v>-217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87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 s="84">
        <f>D5-D10</f>
        <v>-3924.65</v>
      </c>
      <c r="E11"/>
      <c r="F11" s="26" t="s">
        <v>28</v>
      </c>
      <c r="G11" s="27">
        <f>SUM(G3:G10)</f>
        <v>567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-10</v>
      </c>
      <c r="K12" s="11" t="s">
        <v>87</v>
      </c>
      <c r="L12" s="12"/>
    </row>
    <row r="13" spans="3:12" ht="15" thickBot="1">
      <c r="C13"/>
      <c r="D13"/>
      <c r="E13"/>
      <c r="F13" s="108"/>
      <c r="G13" s="109"/>
      <c r="I13" s="11" t="s">
        <v>32</v>
      </c>
      <c r="J13" s="101">
        <v>-28.22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-204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-35.299999999999997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 t="s">
        <v>192</v>
      </c>
      <c r="G18" s="3">
        <v>-6.99</v>
      </c>
      <c r="I18" s="11" t="s">
        <v>39</v>
      </c>
      <c r="J18" s="12">
        <v>-3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193</v>
      </c>
      <c r="G19" s="3">
        <v>-6.99</v>
      </c>
      <c r="I19" s="11" t="s">
        <v>42</v>
      </c>
      <c r="J19" s="12">
        <v>-600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/>
      <c r="I20" s="11" t="s">
        <v>196</v>
      </c>
      <c r="J20" s="12">
        <v>-24</v>
      </c>
      <c r="K20" s="11" t="s">
        <v>87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 t="s">
        <v>194</v>
      </c>
      <c r="G21" s="3">
        <v>-30.48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/>
      <c r="I22" s="11" t="s">
        <v>186</v>
      </c>
      <c r="J22" s="12">
        <v>-60</v>
      </c>
      <c r="K22" s="11" t="s">
        <v>87</v>
      </c>
      <c r="L22" s="12"/>
    </row>
    <row r="23" spans="1:13">
      <c r="C23" s="31"/>
      <c r="E23"/>
      <c r="F23"/>
      <c r="G23" s="3">
        <v>200.05</v>
      </c>
      <c r="I23" s="11" t="s">
        <v>49</v>
      </c>
      <c r="J23" s="12">
        <v>-750</v>
      </c>
      <c r="K23" s="11" t="s">
        <v>87</v>
      </c>
      <c r="L23" s="12" t="s">
        <v>11</v>
      </c>
    </row>
    <row r="24" spans="1:13">
      <c r="C24" s="31"/>
      <c r="E24"/>
      <c r="F24"/>
      <c r="I24" s="11" t="s">
        <v>117</v>
      </c>
      <c r="J24" s="12">
        <v>-12</v>
      </c>
      <c r="K24" s="11" t="s">
        <v>87</v>
      </c>
      <c r="L24" s="12" t="s">
        <v>11</v>
      </c>
    </row>
    <row r="25" spans="1:13">
      <c r="C25" s="31" t="s">
        <v>172</v>
      </c>
      <c r="D25" s="98">
        <v>11819</v>
      </c>
      <c r="E25" s="32"/>
      <c r="I25" s="11" t="s">
        <v>52</v>
      </c>
      <c r="J25" s="12">
        <v>-7.4</v>
      </c>
      <c r="K25" s="11" t="s">
        <v>87</v>
      </c>
      <c r="L25" s="12"/>
    </row>
    <row r="26" spans="1:13">
      <c r="C26" s="112">
        <v>45538</v>
      </c>
      <c r="D26" s="113">
        <f>D25/32</f>
        <v>369.34375</v>
      </c>
      <c r="E26" s="32"/>
      <c r="I26" s="11" t="s">
        <v>102</v>
      </c>
      <c r="J26" s="12">
        <v>-10</v>
      </c>
      <c r="K26" s="11" t="s">
        <v>87</v>
      </c>
      <c r="L26" s="12"/>
    </row>
    <row r="27" spans="1:13">
      <c r="C27" s="31"/>
      <c r="D27" s="113">
        <f>D26*24</f>
        <v>8864.25</v>
      </c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/>
      <c r="D28" s="113">
        <f>D27-D25</f>
        <v>-2954.75</v>
      </c>
      <c r="E28" s="32"/>
      <c r="I28" s="11" t="s">
        <v>56</v>
      </c>
      <c r="J28" s="12">
        <v>-85</v>
      </c>
      <c r="K28" s="11" t="s">
        <v>87</v>
      </c>
      <c r="L28" s="12" t="s">
        <v>11</v>
      </c>
    </row>
    <row r="29" spans="1:13">
      <c r="C29" s="31"/>
      <c r="E29" s="32"/>
      <c r="I29" s="11" t="s">
        <v>13</v>
      </c>
      <c r="J29" s="12">
        <v>-45</v>
      </c>
      <c r="K29" s="11" t="s">
        <v>8</v>
      </c>
      <c r="L29" s="12"/>
      <c r="M29" s="15"/>
    </row>
    <row r="30" spans="1:13">
      <c r="C30" s="31"/>
      <c r="E30" s="32"/>
      <c r="I30" s="11" t="s">
        <v>57</v>
      </c>
      <c r="J30" s="12">
        <v>-25</v>
      </c>
      <c r="K30" s="11" t="s">
        <v>87</v>
      </c>
      <c r="L30" s="12" t="s">
        <v>11</v>
      </c>
    </row>
    <row r="31" spans="1:13">
      <c r="A31" s="14"/>
      <c r="B31" s="14"/>
      <c r="C31" s="31"/>
      <c r="E31" s="32"/>
      <c r="I31" s="11" t="s">
        <v>197</v>
      </c>
      <c r="J31" s="12">
        <v>-220</v>
      </c>
      <c r="K31" s="11" t="s">
        <v>87</v>
      </c>
      <c r="L31" s="12"/>
    </row>
    <row r="32" spans="1:13">
      <c r="C32" s="31"/>
      <c r="E32" s="32"/>
      <c r="H32" s="30"/>
      <c r="I32" s="11" t="s">
        <v>198</v>
      </c>
      <c r="J32" s="12">
        <v>-50</v>
      </c>
      <c r="K32" s="11" t="s">
        <v>87</v>
      </c>
      <c r="L32" s="12"/>
    </row>
    <row r="33" spans="8:12">
      <c r="H33" s="30"/>
      <c r="I33" s="11"/>
      <c r="J33" s="12"/>
      <c r="K33" s="11" t="s">
        <v>8</v>
      </c>
      <c r="L33" s="12"/>
    </row>
    <row r="34" spans="8:12">
      <c r="H34" s="30"/>
      <c r="K34" s="11" t="s">
        <v>8</v>
      </c>
    </row>
    <row r="35" spans="8:12">
      <c r="H35" s="30"/>
    </row>
    <row r="36" spans="8:12">
      <c r="H36" s="30"/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18000000}"/>
  <conditionalFormatting sqref="I3:L3 I4:J12 L4:L32 K4:K34 I13 I14:J32">
    <cfRule type="expression" dxfId="64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8"/>
  <dimension ref="A1:IS48"/>
  <sheetViews>
    <sheetView zoomScale="250" zoomScaleNormal="250" workbookViewId="0">
      <selection activeCell="D5" sqref="D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4246.71</v>
      </c>
      <c r="E3" s="3"/>
      <c r="F3" s="7" t="s">
        <v>1</v>
      </c>
      <c r="G3" s="4">
        <v>355</v>
      </c>
      <c r="I3" s="11" t="s">
        <v>7</v>
      </c>
      <c r="J3" s="12">
        <v>-797</v>
      </c>
      <c r="K3" s="11" t="s">
        <v>87</v>
      </c>
      <c r="L3" s="12"/>
    </row>
    <row r="4" spans="3:12" ht="15" thickBot="1">
      <c r="C4" s="187" t="s">
        <v>9</v>
      </c>
      <c r="D4" s="188">
        <f>SUMIF(K3:K29,"Yes*",J3:J29)</f>
        <v>-3883.34</v>
      </c>
      <c r="E4" s="3"/>
      <c r="F4" s="6"/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03">
        <v>8.17</v>
      </c>
      <c r="E5" s="3"/>
      <c r="F5" s="24" t="s">
        <v>13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SUMIF(K3:K39,"No",J3:J39)</f>
        <v>-7.4</v>
      </c>
      <c r="E6" s="3"/>
      <c r="F6" s="24" t="s">
        <v>16</v>
      </c>
      <c r="G6" s="25"/>
      <c r="I6" s="11" t="s">
        <v>17</v>
      </c>
      <c r="J6" s="12">
        <v>-24.82</v>
      </c>
      <c r="K6" s="11" t="s">
        <v>87</v>
      </c>
      <c r="L6" s="12"/>
    </row>
    <row r="7" spans="3:12" ht="15" thickBot="1">
      <c r="C7" s="28" t="s">
        <v>18</v>
      </c>
      <c r="D7" s="29">
        <f>D6+D5</f>
        <v>0.76999999999999957</v>
      </c>
      <c r="E7" s="3" t="s">
        <v>19</v>
      </c>
      <c r="F7" s="24" t="s">
        <v>20</v>
      </c>
      <c r="G7" s="25">
        <v>152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-1805.3</v>
      </c>
      <c r="E8" s="30"/>
      <c r="F8" s="24" t="s">
        <v>23</v>
      </c>
      <c r="G8" s="25">
        <v>75</v>
      </c>
      <c r="I8" s="11" t="s">
        <v>24</v>
      </c>
      <c r="J8" s="12">
        <v>-127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87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 s="84">
        <f>D5-D10</f>
        <v>-4033.83</v>
      </c>
      <c r="E11"/>
      <c r="F11" s="26" t="s">
        <v>28</v>
      </c>
      <c r="G11" s="27">
        <f>SUM(G3:G10)</f>
        <v>582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-10</v>
      </c>
      <c r="K12" s="11" t="s">
        <v>87</v>
      </c>
      <c r="L12" s="12"/>
    </row>
    <row r="13" spans="3:12" ht="15" thickBot="1">
      <c r="C13"/>
      <c r="D13"/>
      <c r="E13"/>
      <c r="F13" s="108"/>
      <c r="G13" s="109"/>
      <c r="I13" s="11" t="s">
        <v>32</v>
      </c>
      <c r="J13" s="101">
        <v>-28.22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-35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 t="s">
        <v>192</v>
      </c>
      <c r="G18" s="3">
        <v>-6.99</v>
      </c>
      <c r="I18" s="11" t="s">
        <v>39</v>
      </c>
      <c r="J18" s="12">
        <v>-3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193</v>
      </c>
      <c r="G19" s="3">
        <v>-6.99</v>
      </c>
      <c r="I19" s="11" t="s">
        <v>42</v>
      </c>
      <c r="J19" s="12">
        <v>-692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/>
      <c r="I20" s="11" t="s">
        <v>199</v>
      </c>
      <c r="J20" s="12">
        <v>-24</v>
      </c>
      <c r="K20" s="11" t="s">
        <v>87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 t="s">
        <v>194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/>
      <c r="I22" s="11" t="s">
        <v>186</v>
      </c>
      <c r="J22" s="12">
        <v>-238</v>
      </c>
      <c r="K22" s="11" t="s">
        <v>87</v>
      </c>
      <c r="L22" s="12"/>
    </row>
    <row r="23" spans="1:13">
      <c r="C23" s="31"/>
      <c r="E23"/>
      <c r="F23"/>
      <c r="G23" s="3">
        <v>200.05</v>
      </c>
      <c r="I23" s="11" t="s">
        <v>49</v>
      </c>
      <c r="J23" s="12">
        <v>-750</v>
      </c>
      <c r="K23" s="11" t="s">
        <v>87</v>
      </c>
      <c r="L23" s="12" t="s">
        <v>11</v>
      </c>
    </row>
    <row r="24" spans="1:13">
      <c r="C24" s="31"/>
      <c r="E24"/>
      <c r="F24"/>
      <c r="I24" s="11" t="s">
        <v>200</v>
      </c>
      <c r="J24" s="12">
        <v>-38</v>
      </c>
      <c r="K24" s="11" t="s">
        <v>87</v>
      </c>
      <c r="L24" s="12"/>
    </row>
    <row r="25" spans="1:13">
      <c r="C25" s="31"/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/>
      <c r="E26" s="32"/>
      <c r="I26" s="11" t="s">
        <v>54</v>
      </c>
      <c r="J26" s="12">
        <v>-11</v>
      </c>
      <c r="K26" s="11" t="s">
        <v>87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/>
      <c r="E28" s="32"/>
      <c r="I28" s="11" t="s">
        <v>56</v>
      </c>
      <c r="J28" s="12">
        <v>-70</v>
      </c>
      <c r="K28" s="11" t="s">
        <v>87</v>
      </c>
      <c r="L28" s="12" t="s">
        <v>11</v>
      </c>
    </row>
    <row r="29" spans="1:13">
      <c r="C29" s="31"/>
      <c r="E29" s="32"/>
      <c r="I29" s="11" t="s">
        <v>13</v>
      </c>
      <c r="J29" s="12">
        <v>-37</v>
      </c>
      <c r="K29" s="11" t="s">
        <v>87</v>
      </c>
      <c r="L29" s="12"/>
      <c r="M29" s="15"/>
    </row>
    <row r="30" spans="1:13">
      <c r="C30" s="31"/>
      <c r="E30" s="32"/>
      <c r="I30" s="11" t="s">
        <v>57</v>
      </c>
      <c r="J30" s="12">
        <v>-25</v>
      </c>
      <c r="K30" s="11" t="s">
        <v>87</v>
      </c>
      <c r="L30" s="12" t="s">
        <v>11</v>
      </c>
    </row>
    <row r="31" spans="1:13">
      <c r="A31" s="14"/>
      <c r="B31" s="14"/>
      <c r="C31" s="31"/>
      <c r="E31" s="32"/>
      <c r="I31" s="11" t="s">
        <v>201</v>
      </c>
      <c r="J31" s="12">
        <v>-155</v>
      </c>
      <c r="K31" s="11" t="s">
        <v>87</v>
      </c>
      <c r="L31" s="12"/>
    </row>
    <row r="32" spans="1:13">
      <c r="C32" s="31"/>
      <c r="E32" s="32"/>
      <c r="H32" s="30"/>
      <c r="I32" s="11" t="s">
        <v>138</v>
      </c>
      <c r="J32" s="12"/>
      <c r="K32" s="11" t="s">
        <v>8</v>
      </c>
      <c r="L32" s="12"/>
    </row>
    <row r="33" spans="8:12">
      <c r="H33" s="30"/>
      <c r="I33" s="11" t="s">
        <v>202</v>
      </c>
      <c r="J33" s="12">
        <v>-125</v>
      </c>
      <c r="K33" s="11" t="s">
        <v>87</v>
      </c>
      <c r="L33" s="12"/>
    </row>
    <row r="34" spans="8:12">
      <c r="H34" s="30"/>
      <c r="K34" s="11"/>
    </row>
    <row r="35" spans="8:12">
      <c r="H35" s="30"/>
    </row>
    <row r="36" spans="8:12">
      <c r="H36" s="30"/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19000000}"/>
  <conditionalFormatting sqref="I3:L3 I4:J12 L4:L32 K4:K34 I13 I14:J32">
    <cfRule type="expression" dxfId="63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9"/>
  <dimension ref="A1:IS48"/>
  <sheetViews>
    <sheetView zoomScale="205" zoomScaleNormal="205" workbookViewId="0">
      <selection activeCell="D5" sqref="D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4354.71</v>
      </c>
      <c r="E3" s="3"/>
      <c r="F3" s="7" t="s">
        <v>1</v>
      </c>
      <c r="G3" s="4">
        <v>290</v>
      </c>
      <c r="I3" s="11" t="s">
        <v>7</v>
      </c>
      <c r="J3" s="12">
        <v>-797</v>
      </c>
      <c r="K3" s="11" t="s">
        <v>87</v>
      </c>
      <c r="L3" s="12"/>
    </row>
    <row r="4" spans="3:12" ht="15" thickBot="1">
      <c r="C4" s="187" t="s">
        <v>9</v>
      </c>
      <c r="D4" s="188">
        <f>SUMIF(K3:K29,"Yes*",J3:J29)</f>
        <v>-3794.83</v>
      </c>
      <c r="E4" s="3"/>
      <c r="F4" s="6" t="s">
        <v>116</v>
      </c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03">
        <v>10.71</v>
      </c>
      <c r="E5" s="3"/>
      <c r="F5" s="24" t="s">
        <v>13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SUMIF(K3:K33,"No",J3:J33)</f>
        <v>-7.4</v>
      </c>
      <c r="E6" s="3"/>
      <c r="F6" s="24" t="s">
        <v>16</v>
      </c>
      <c r="G6" s="25"/>
      <c r="I6" s="11" t="s">
        <v>17</v>
      </c>
      <c r="J6" s="12">
        <v>-24.82</v>
      </c>
      <c r="K6" s="11" t="s">
        <v>87</v>
      </c>
      <c r="L6" s="12"/>
    </row>
    <row r="7" spans="3:12" ht="15" thickBot="1">
      <c r="C7" s="28" t="s">
        <v>18</v>
      </c>
      <c r="D7" s="29">
        <f>D6+D5</f>
        <v>3.3100000000000005</v>
      </c>
      <c r="E7" s="3" t="s">
        <v>19</v>
      </c>
      <c r="F7" s="24" t="s">
        <v>20</v>
      </c>
      <c r="G7" s="25">
        <v>151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-1984.8</v>
      </c>
      <c r="E8" s="30"/>
      <c r="F8" s="24" t="s">
        <v>23</v>
      </c>
      <c r="G8" s="25">
        <v>35</v>
      </c>
      <c r="I8" s="11" t="s">
        <v>24</v>
      </c>
      <c r="J8" s="12">
        <v>-127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87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 s="84">
        <f>D5-D10</f>
        <v>-4031.29</v>
      </c>
      <c r="E11"/>
      <c r="F11" s="26" t="s">
        <v>28</v>
      </c>
      <c r="G11" s="27">
        <f>SUM(G3:G10)</f>
        <v>476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-13.99</v>
      </c>
      <c r="K12" s="11" t="s">
        <v>87</v>
      </c>
      <c r="L12" s="12"/>
    </row>
    <row r="13" spans="3:12" ht="15" thickBot="1">
      <c r="C13"/>
      <c r="D13"/>
      <c r="E13"/>
      <c r="F13" s="108" t="s">
        <v>31</v>
      </c>
      <c r="G13" s="109">
        <v>290</v>
      </c>
      <c r="I13" s="11" t="s">
        <v>32</v>
      </c>
      <c r="J13" s="101">
        <v>-28.22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-35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-3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1082</v>
      </c>
      <c r="I19" s="11" t="s">
        <v>42</v>
      </c>
      <c r="J19" s="12">
        <v>-616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160</v>
      </c>
      <c r="I20" s="11" t="s">
        <v>45</v>
      </c>
      <c r="J20" s="12">
        <v>-24</v>
      </c>
      <c r="K20" s="11" t="s">
        <v>87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I22" s="11" t="s">
        <v>48</v>
      </c>
      <c r="J22" s="12">
        <v>-180</v>
      </c>
      <c r="K22" s="11" t="s">
        <v>87</v>
      </c>
      <c r="L22" s="12" t="s">
        <v>11</v>
      </c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-922</v>
      </c>
      <c r="I24" s="11" t="s">
        <v>50</v>
      </c>
      <c r="J24" s="12">
        <v>-10</v>
      </c>
      <c r="K24" s="11" t="s">
        <v>87</v>
      </c>
      <c r="L24" s="12"/>
    </row>
    <row r="25" spans="1:13">
      <c r="C25" s="31" t="s">
        <v>63</v>
      </c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 t="s">
        <v>203</v>
      </c>
      <c r="D26" s="3">
        <v>60</v>
      </c>
      <c r="E26" s="32"/>
      <c r="I26" s="11" t="s">
        <v>54</v>
      </c>
      <c r="J26" s="12">
        <v>-66.5</v>
      </c>
      <c r="K26" s="11" t="s">
        <v>87</v>
      </c>
      <c r="L26" s="12" t="s">
        <v>11</v>
      </c>
    </row>
    <row r="27" spans="1:13">
      <c r="C27" s="31" t="s">
        <v>204</v>
      </c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 t="s">
        <v>205</v>
      </c>
      <c r="E28" s="32"/>
      <c r="I28" s="11" t="s">
        <v>56</v>
      </c>
      <c r="J28" s="12">
        <v>-85</v>
      </c>
      <c r="K28" s="11" t="s">
        <v>87</v>
      </c>
      <c r="L28" s="12" t="s">
        <v>11</v>
      </c>
    </row>
    <row r="29" spans="1:13">
      <c r="C29" s="31" t="s">
        <v>206</v>
      </c>
      <c r="E29" s="32"/>
      <c r="I29" s="11" t="s">
        <v>13</v>
      </c>
      <c r="J29" s="12">
        <v>-36</v>
      </c>
      <c r="K29" s="11" t="s">
        <v>87</v>
      </c>
      <c r="L29" s="12"/>
      <c r="M29" s="15"/>
    </row>
    <row r="30" spans="1:13">
      <c r="C30" s="31" t="s">
        <v>207</v>
      </c>
      <c r="E30" s="32"/>
      <c r="I30" s="11" t="s">
        <v>57</v>
      </c>
      <c r="J30" s="12">
        <v>-30</v>
      </c>
      <c r="K30" s="11" t="s">
        <v>87</v>
      </c>
      <c r="L30" s="12" t="s">
        <v>11</v>
      </c>
    </row>
    <row r="31" spans="1:13">
      <c r="A31" s="14"/>
      <c r="B31" s="14"/>
      <c r="C31" s="31" t="s">
        <v>208</v>
      </c>
      <c r="E31" s="32"/>
      <c r="I31" s="11" t="s">
        <v>58</v>
      </c>
      <c r="J31" s="12">
        <v>-259</v>
      </c>
      <c r="K31" s="11" t="s">
        <v>87</v>
      </c>
      <c r="L31" s="12"/>
    </row>
    <row r="32" spans="1:13">
      <c r="C32" s="31" t="s">
        <v>209</v>
      </c>
      <c r="E32" s="32"/>
      <c r="H32" s="30"/>
      <c r="I32" s="11" t="s">
        <v>59</v>
      </c>
      <c r="J32" s="12">
        <v>-35</v>
      </c>
      <c r="K32" s="11" t="s">
        <v>87</v>
      </c>
      <c r="L32" s="12"/>
    </row>
    <row r="33" spans="4:12">
      <c r="D33" s="3">
        <f>SUM(D26:D32)</f>
        <v>60</v>
      </c>
      <c r="E33" s="32"/>
      <c r="H33" s="30"/>
      <c r="I33" s="11" t="s">
        <v>60</v>
      </c>
      <c r="J33" s="12">
        <v>-275</v>
      </c>
      <c r="K33" s="11" t="s">
        <v>87</v>
      </c>
      <c r="L33" s="12"/>
    </row>
    <row r="34" spans="4:12">
      <c r="E34" s="32"/>
      <c r="H34" s="30"/>
      <c r="K34" s="11"/>
    </row>
    <row r="35" spans="4:12">
      <c r="E35" s="32"/>
      <c r="H35" s="30"/>
    </row>
    <row r="36" spans="4:12">
      <c r="E36" s="32"/>
      <c r="H36" s="30"/>
    </row>
    <row r="37" spans="4:12">
      <c r="E37" s="32"/>
      <c r="H37" s="30"/>
    </row>
    <row r="38" spans="4:12">
      <c r="E38" s="32"/>
      <c r="H38" s="30"/>
    </row>
    <row r="39" spans="4:12">
      <c r="E39" s="32"/>
      <c r="H39" s="30"/>
    </row>
    <row r="40" spans="4:12">
      <c r="E40" s="32"/>
      <c r="H40" s="30"/>
    </row>
    <row r="41" spans="4:12">
      <c r="E41" s="32"/>
      <c r="H41" s="30"/>
    </row>
    <row r="42" spans="4:12">
      <c r="E42" s="32"/>
      <c r="H42" s="30"/>
    </row>
    <row r="43" spans="4:12">
      <c r="E43" s="32"/>
      <c r="H43" s="30"/>
    </row>
    <row r="44" spans="4:12">
      <c r="E44" s="32"/>
      <c r="H44" s="30"/>
    </row>
    <row r="45" spans="4:12">
      <c r="E45" s="32"/>
      <c r="H45" s="30"/>
    </row>
    <row r="46" spans="4:12">
      <c r="E46" s="32"/>
      <c r="H46" s="30"/>
    </row>
    <row r="47" spans="4:12">
      <c r="E47" s="32"/>
      <c r="H47" s="30"/>
    </row>
    <row r="48" spans="4:12">
      <c r="E48" s="32"/>
      <c r="H48" s="30"/>
    </row>
  </sheetData>
  <autoFilter ref="I2:L33" xr:uid="{00000000-0009-0000-0000-00001A000000}"/>
  <conditionalFormatting sqref="I3:L3 I4:J12 L4:L32 K4:K34 I13 I14:J32">
    <cfRule type="expression" dxfId="62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0"/>
  <dimension ref="A1:IS48"/>
  <sheetViews>
    <sheetView zoomScale="190" zoomScaleNormal="190" workbookViewId="0">
      <selection activeCell="D5" sqref="D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08203125" style="2" customWidth="1"/>
    <col min="6" max="6" width="17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4197.12</v>
      </c>
      <c r="E3" s="3"/>
      <c r="F3" s="7" t="s">
        <v>1</v>
      </c>
      <c r="G3" s="4">
        <v>145</v>
      </c>
      <c r="I3" s="11" t="s">
        <v>7</v>
      </c>
      <c r="J3" s="12">
        <v>-852.98</v>
      </c>
      <c r="K3" s="11" t="s">
        <v>87</v>
      </c>
      <c r="L3" s="12"/>
    </row>
    <row r="4" spans="3:12" ht="15" thickBot="1">
      <c r="C4" s="187" t="s">
        <v>9</v>
      </c>
      <c r="D4" s="188">
        <f>SUMIF(K3:K29,"Yes*",J3:J29)</f>
        <v>-3790.81</v>
      </c>
      <c r="E4" s="3"/>
      <c r="F4" s="6"/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03">
        <v>14.04</v>
      </c>
      <c r="E5" s="3"/>
      <c r="F5" s="24" t="s">
        <v>13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SUMIF(K3:K33,"No",J3:J33)</f>
        <v>-7.4</v>
      </c>
      <c r="E6" s="3"/>
      <c r="F6" s="24" t="s">
        <v>16</v>
      </c>
      <c r="G6" s="25"/>
      <c r="I6" s="11" t="s">
        <v>17</v>
      </c>
      <c r="J6" s="12">
        <v>-24.82</v>
      </c>
      <c r="K6" s="11" t="s">
        <v>87</v>
      </c>
      <c r="L6" s="12"/>
    </row>
    <row r="7" spans="3:12" ht="15" thickBot="1">
      <c r="C7" s="28" t="s">
        <v>18</v>
      </c>
      <c r="D7" s="29">
        <f>D6+D5</f>
        <v>6.6399999999999988</v>
      </c>
      <c r="E7" s="3" t="s">
        <v>19</v>
      </c>
      <c r="F7" s="24" t="s">
        <v>20</v>
      </c>
      <c r="G7" s="25">
        <v>116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-1901.8</v>
      </c>
      <c r="E8" s="30"/>
      <c r="F8" s="24" t="s">
        <v>23</v>
      </c>
      <c r="G8" s="25"/>
      <c r="I8" s="11" t="s">
        <v>24</v>
      </c>
      <c r="J8" s="12">
        <v>-127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-35</v>
      </c>
      <c r="K9" s="11" t="s">
        <v>87</v>
      </c>
      <c r="L9" s="12"/>
    </row>
    <row r="10" spans="3:12" ht="15" thickBot="1">
      <c r="C10" s="31"/>
      <c r="D10" s="111">
        <v>4042</v>
      </c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 s="84">
        <f>D5-D10</f>
        <v>-4027.96</v>
      </c>
      <c r="E11"/>
      <c r="F11" s="26" t="s">
        <v>28</v>
      </c>
      <c r="G11" s="27">
        <f>SUM(G3:G10)</f>
        <v>261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-13.99</v>
      </c>
      <c r="K12" s="11" t="s">
        <v>87</v>
      </c>
      <c r="L12" s="12"/>
    </row>
    <row r="13" spans="3:12" ht="15" thickBot="1">
      <c r="C13"/>
      <c r="D13"/>
      <c r="E13"/>
      <c r="F13" s="108" t="s">
        <v>31</v>
      </c>
      <c r="G13" s="109">
        <v>290</v>
      </c>
      <c r="I13" s="11" t="s">
        <v>32</v>
      </c>
      <c r="J13" s="101">
        <v>-28.22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-35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1082</v>
      </c>
      <c r="I19" s="11" t="s">
        <v>42</v>
      </c>
      <c r="J19" s="12">
        <v>-650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160</v>
      </c>
      <c r="I20" s="11" t="s">
        <v>45</v>
      </c>
      <c r="J20" s="12">
        <v>-24</v>
      </c>
      <c r="K20" s="11" t="s">
        <v>87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I22" s="11" t="s">
        <v>48</v>
      </c>
      <c r="J22" s="12">
        <v>-100</v>
      </c>
      <c r="K22" s="11" t="s">
        <v>87</v>
      </c>
      <c r="L22" s="12" t="s">
        <v>11</v>
      </c>
    </row>
    <row r="23" spans="1:13">
      <c r="C23" s="31"/>
      <c r="E23"/>
      <c r="F23" t="s">
        <v>44</v>
      </c>
      <c r="I23" s="11" t="s">
        <v>49</v>
      </c>
      <c r="J23" s="12">
        <v>-846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-922</v>
      </c>
      <c r="I24" s="11" t="s">
        <v>50</v>
      </c>
      <c r="J24" s="12">
        <v>-10</v>
      </c>
      <c r="K24" s="11" t="s">
        <v>87</v>
      </c>
      <c r="L24" s="12"/>
    </row>
    <row r="25" spans="1:13">
      <c r="C25" s="31" t="s">
        <v>63</v>
      </c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 t="s">
        <v>203</v>
      </c>
      <c r="D26" s="3">
        <v>60</v>
      </c>
      <c r="E26" s="32"/>
      <c r="I26" s="11" t="s">
        <v>54</v>
      </c>
      <c r="J26" s="12">
        <v>-38.5</v>
      </c>
      <c r="K26" s="11" t="s">
        <v>87</v>
      </c>
      <c r="L26" s="12" t="s">
        <v>11</v>
      </c>
    </row>
    <row r="27" spans="1:13">
      <c r="C27" s="31" t="s">
        <v>204</v>
      </c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 t="s">
        <v>205</v>
      </c>
      <c r="E28" s="32"/>
      <c r="I28" s="11" t="s">
        <v>60</v>
      </c>
      <c r="J28" s="12"/>
      <c r="K28" s="11" t="s">
        <v>8</v>
      </c>
      <c r="L28" s="12"/>
    </row>
    <row r="29" spans="1:13">
      <c r="C29" s="31" t="s">
        <v>206</v>
      </c>
      <c r="E29" s="32"/>
      <c r="I29" s="11" t="s">
        <v>210</v>
      </c>
      <c r="J29" s="12">
        <v>-40</v>
      </c>
      <c r="K29" s="11" t="s">
        <v>87</v>
      </c>
      <c r="L29" s="12"/>
      <c r="M29" s="15"/>
    </row>
    <row r="30" spans="1:13">
      <c r="C30" s="31" t="s">
        <v>207</v>
      </c>
      <c r="E30" s="32"/>
      <c r="I30" s="11" t="s">
        <v>57</v>
      </c>
      <c r="J30" s="12">
        <v>-10</v>
      </c>
      <c r="K30" s="11" t="s">
        <v>87</v>
      </c>
      <c r="L30" s="12" t="s">
        <v>11</v>
      </c>
    </row>
    <row r="31" spans="1:13">
      <c r="A31" s="14"/>
      <c r="B31" s="14"/>
      <c r="C31" s="31" t="s">
        <v>208</v>
      </c>
      <c r="E31" s="32"/>
      <c r="I31" s="11" t="s">
        <v>58</v>
      </c>
      <c r="J31" s="12">
        <v>-8</v>
      </c>
      <c r="K31" s="11" t="s">
        <v>87</v>
      </c>
      <c r="L31" s="12"/>
    </row>
    <row r="32" spans="1:13">
      <c r="C32" s="31" t="s">
        <v>209</v>
      </c>
      <c r="E32" s="32"/>
      <c r="H32" s="30"/>
      <c r="I32" s="11" t="s">
        <v>211</v>
      </c>
      <c r="J32" s="12">
        <v>-37</v>
      </c>
      <c r="K32" s="11" t="s">
        <v>87</v>
      </c>
      <c r="L32" s="12"/>
    </row>
    <row r="33" spans="4:12">
      <c r="D33" s="3">
        <f>SUM(D26:D32)</f>
        <v>60</v>
      </c>
      <c r="E33" s="32"/>
      <c r="H33" s="30"/>
      <c r="I33" s="11" t="s">
        <v>60</v>
      </c>
      <c r="J33" s="12">
        <v>-150</v>
      </c>
      <c r="K33" s="11" t="s">
        <v>87</v>
      </c>
      <c r="L33" s="12"/>
    </row>
    <row r="34" spans="4:12">
      <c r="E34" s="32"/>
      <c r="H34" s="30"/>
      <c r="K34" s="11" t="s">
        <v>8</v>
      </c>
    </row>
    <row r="35" spans="4:12">
      <c r="E35" s="32"/>
      <c r="H35" s="30"/>
    </row>
    <row r="36" spans="4:12">
      <c r="E36" s="32"/>
      <c r="H36" s="30"/>
    </row>
    <row r="37" spans="4:12">
      <c r="E37" s="32"/>
      <c r="H37" s="30"/>
    </row>
    <row r="38" spans="4:12">
      <c r="E38" s="32"/>
      <c r="H38" s="30"/>
    </row>
    <row r="39" spans="4:12">
      <c r="E39" s="32"/>
      <c r="H39" s="30"/>
    </row>
    <row r="40" spans="4:12">
      <c r="E40" s="32"/>
      <c r="H40" s="30"/>
    </row>
    <row r="41" spans="4:12">
      <c r="E41" s="32"/>
      <c r="H41" s="30"/>
    </row>
    <row r="42" spans="4:12">
      <c r="E42" s="32"/>
      <c r="H42" s="30"/>
    </row>
    <row r="43" spans="4:12">
      <c r="E43" s="32"/>
      <c r="H43" s="30"/>
    </row>
    <row r="44" spans="4:12">
      <c r="E44" s="32"/>
      <c r="H44" s="30"/>
    </row>
    <row r="45" spans="4:12">
      <c r="E45" s="32"/>
      <c r="H45" s="30"/>
    </row>
    <row r="46" spans="4:12">
      <c r="E46" s="32"/>
      <c r="H46" s="30"/>
    </row>
    <row r="47" spans="4:12">
      <c r="E47" s="32"/>
      <c r="H47" s="30"/>
    </row>
    <row r="48" spans="4:12">
      <c r="E48" s="32"/>
      <c r="H48" s="30"/>
    </row>
  </sheetData>
  <autoFilter ref="I2:L33" xr:uid="{00000000-0009-0000-0000-00001B000000}"/>
  <conditionalFormatting sqref="I3:L3 I4:J12 L4:L32 K4:K34 I13 I14:J32">
    <cfRule type="expression" dxfId="61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S46"/>
  <sheetViews>
    <sheetView zoomScale="175" zoomScaleNormal="175" workbookViewId="0">
      <selection activeCell="H3" sqref="H3"/>
    </sheetView>
  </sheetViews>
  <sheetFormatPr defaultColWidth="0" defaultRowHeight="14.5"/>
  <cols>
    <col min="1" max="1" width="16.08203125" style="1" bestFit="1" customWidth="1"/>
    <col min="2" max="2" width="14" style="3" bestFit="1" customWidth="1"/>
    <col min="3" max="3" width="1.08203125" style="2" customWidth="1"/>
    <col min="4" max="4" width="17" style="3" bestFit="1" customWidth="1"/>
    <col min="5" max="5" width="10.5" style="3" customWidth="1"/>
    <col min="6" max="6" width="2.58203125" style="3" customWidth="1"/>
    <col min="7" max="7" width="24" style="3" customWidth="1"/>
    <col min="8" max="8" width="12.5" style="3" customWidth="1"/>
    <col min="9" max="9" width="10.08203125" style="3" customWidth="1"/>
    <col min="10" max="10" width="6.58203125" style="3" customWidth="1"/>
    <col min="11" max="11" width="2.58203125" style="3" hidden="1" customWidth="1"/>
    <col min="12" max="250" width="0" style="3" hidden="1" customWidth="1"/>
    <col min="251" max="253" width="8.58203125" style="3" hidden="1" customWidth="1"/>
    <col min="254" max="16384" width="0" style="3" hidden="1"/>
  </cols>
  <sheetData>
    <row r="1" spans="1:10" ht="15" thickBot="1">
      <c r="A1" s="117" t="s">
        <v>0</v>
      </c>
      <c r="B1" s="31"/>
      <c r="C1" s="3"/>
      <c r="D1" s="106" t="s">
        <v>1</v>
      </c>
      <c r="E1" s="31"/>
      <c r="G1" s="120" t="s">
        <v>2</v>
      </c>
      <c r="H1" s="123" t="s">
        <v>3</v>
      </c>
      <c r="I1" s="120" t="s">
        <v>4</v>
      </c>
      <c r="J1" s="123" t="s">
        <v>5</v>
      </c>
    </row>
    <row r="2" spans="1:10">
      <c r="A2" s="118" t="s">
        <v>6</v>
      </c>
      <c r="B2" s="119">
        <v>4650</v>
      </c>
      <c r="C2" s="3"/>
      <c r="D2" s="7" t="s">
        <v>1</v>
      </c>
      <c r="E2" s="4">
        <v>140</v>
      </c>
      <c r="G2" s="124" t="s">
        <v>7</v>
      </c>
      <c r="H2" s="125">
        <v>-1295.21</v>
      </c>
      <c r="I2" s="124" t="s">
        <v>8</v>
      </c>
      <c r="J2" s="125"/>
    </row>
    <row r="3" spans="1:10">
      <c r="A3" s="100" t="s">
        <v>9</v>
      </c>
      <c r="B3" s="192">
        <f>SUMIF(I2:I28,"Yes*",H2:H28)</f>
        <v>0</v>
      </c>
      <c r="C3" s="3"/>
      <c r="D3" s="6"/>
      <c r="E3" s="5"/>
      <c r="G3" s="124" t="s">
        <v>10</v>
      </c>
      <c r="H3" s="125">
        <v>-244.8</v>
      </c>
      <c r="I3" s="124" t="s">
        <v>8</v>
      </c>
      <c r="J3" s="125" t="s">
        <v>11</v>
      </c>
    </row>
    <row r="4" spans="1:10">
      <c r="A4" s="118" t="s">
        <v>12</v>
      </c>
      <c r="B4" s="119">
        <v>4650</v>
      </c>
      <c r="C4" s="3"/>
      <c r="D4" s="24"/>
      <c r="E4" s="25"/>
      <c r="F4" s="9"/>
      <c r="G4" s="124" t="s">
        <v>14</v>
      </c>
      <c r="H4" s="125">
        <v>-33</v>
      </c>
      <c r="I4" s="124" t="s">
        <v>8</v>
      </c>
      <c r="J4" s="125"/>
    </row>
    <row r="5" spans="1:10">
      <c r="A5" s="100" t="s">
        <v>15</v>
      </c>
      <c r="B5" s="193">
        <f>SUMIF(I2:I37,"No",H2:H37)</f>
        <v>-4153.99</v>
      </c>
      <c r="C5" s="3"/>
      <c r="D5" s="24"/>
      <c r="E5" s="25"/>
      <c r="G5" s="124" t="s">
        <v>17</v>
      </c>
      <c r="H5" s="125">
        <v>-38</v>
      </c>
      <c r="I5" s="124" t="s">
        <v>8</v>
      </c>
      <c r="J5" s="125"/>
    </row>
    <row r="6" spans="1:10">
      <c r="A6" s="120" t="s">
        <v>18</v>
      </c>
      <c r="B6" s="121">
        <f>B5+B4</f>
        <v>496.01000000000022</v>
      </c>
      <c r="C6" s="3" t="s">
        <v>19</v>
      </c>
      <c r="D6" s="24" t="s">
        <v>20</v>
      </c>
      <c r="E6" s="25">
        <v>300</v>
      </c>
      <c r="G6" s="124" t="s">
        <v>21</v>
      </c>
      <c r="H6" s="125">
        <v>-13.2</v>
      </c>
      <c r="I6" s="124" t="s">
        <v>8</v>
      </c>
      <c r="J6" s="125"/>
    </row>
    <row r="7" spans="1:10">
      <c r="A7" s="122" t="s">
        <v>22</v>
      </c>
      <c r="B7" s="194">
        <f>SUMIF(J2:J32,"f",H2:H32)</f>
        <v>-1209.3</v>
      </c>
      <c r="C7" s="30"/>
      <c r="D7" s="24" t="s">
        <v>104</v>
      </c>
      <c r="E7" s="25">
        <v>180</v>
      </c>
      <c r="G7" s="124" t="s">
        <v>24</v>
      </c>
      <c r="H7" s="125">
        <v>-170</v>
      </c>
      <c r="I7" s="124" t="s">
        <v>8</v>
      </c>
      <c r="J7" s="125"/>
    </row>
    <row r="8" spans="1:10">
      <c r="A8" s="31"/>
      <c r="C8" s="30"/>
      <c r="D8" s="24" t="s">
        <v>107</v>
      </c>
      <c r="E8" s="25">
        <v>50</v>
      </c>
      <c r="G8" s="124" t="s">
        <v>25</v>
      </c>
      <c r="H8" s="125">
        <v>-40</v>
      </c>
      <c r="I8" s="124" t="s">
        <v>8</v>
      </c>
      <c r="J8" s="125"/>
    </row>
    <row r="9" spans="1:10" ht="15" thickBot="1">
      <c r="A9" s="31"/>
      <c r="B9" s="111"/>
      <c r="C9"/>
      <c r="D9" s="24"/>
      <c r="E9" s="25"/>
      <c r="G9" s="124" t="s">
        <v>27</v>
      </c>
      <c r="H9" s="125">
        <v>-16.989999999999998</v>
      </c>
      <c r="I9" s="124" t="s">
        <v>8</v>
      </c>
      <c r="J9" s="125"/>
    </row>
    <row r="10" spans="1:10" ht="15" thickBot="1">
      <c r="A10"/>
      <c r="B10" s="84"/>
      <c r="C10"/>
      <c r="D10" s="26" t="s">
        <v>28</v>
      </c>
      <c r="E10" s="27">
        <f>SUM(E2:E9)</f>
        <v>670</v>
      </c>
      <c r="G10" s="124" t="s">
        <v>74</v>
      </c>
      <c r="H10" s="125">
        <v>-10</v>
      </c>
      <c r="I10" s="124" t="s">
        <v>8</v>
      </c>
      <c r="J10" s="125"/>
    </row>
    <row r="11" spans="1:10" thickBot="1">
      <c r="A11"/>
      <c r="B11"/>
      <c r="C11"/>
      <c r="G11" s="124" t="s">
        <v>30</v>
      </c>
      <c r="H11" s="125">
        <v>-10.99</v>
      </c>
      <c r="I11" s="124" t="s">
        <v>8</v>
      </c>
      <c r="J11" s="125"/>
    </row>
    <row r="12" spans="1:10" ht="15" thickBot="1">
      <c r="A12" s="115"/>
      <c r="B12" s="116"/>
      <c r="C12"/>
      <c r="D12" s="108"/>
      <c r="E12" s="109"/>
      <c r="G12" s="124" t="s">
        <v>78</v>
      </c>
      <c r="H12" s="126">
        <v>-18</v>
      </c>
      <c r="I12" s="124" t="s">
        <v>8</v>
      </c>
      <c r="J12" s="125"/>
    </row>
    <row r="13" spans="1:10" ht="14">
      <c r="A13"/>
      <c r="B13"/>
      <c r="C13"/>
      <c r="D13"/>
      <c r="G13" s="124" t="s">
        <v>33</v>
      </c>
      <c r="H13" s="125">
        <v>-214</v>
      </c>
      <c r="I13" s="124" t="s">
        <v>8</v>
      </c>
      <c r="J13" s="125"/>
    </row>
    <row r="14" spans="1:10">
      <c r="A14" s="31"/>
      <c r="B14" s="31"/>
      <c r="C14" s="31"/>
      <c r="D14" s="31"/>
      <c r="G14" s="124" t="s">
        <v>34</v>
      </c>
      <c r="H14" s="125">
        <v>-13</v>
      </c>
      <c r="I14" s="124" t="s">
        <v>8</v>
      </c>
      <c r="J14" s="125"/>
    </row>
    <row r="15" spans="1:10">
      <c r="A15" s="31"/>
      <c r="B15" s="31"/>
      <c r="C15" s="31"/>
      <c r="D15" s="31"/>
      <c r="G15" s="124" t="s">
        <v>36</v>
      </c>
      <c r="H15" s="125"/>
      <c r="I15" s="124" t="s">
        <v>8</v>
      </c>
      <c r="J15" s="125"/>
    </row>
    <row r="16" spans="1:10">
      <c r="A16" s="31"/>
      <c r="B16" s="31"/>
      <c r="C16" s="31"/>
      <c r="D16" s="31"/>
      <c r="G16" s="124" t="s">
        <v>34</v>
      </c>
      <c r="H16" s="125">
        <v>-29.2</v>
      </c>
      <c r="I16" s="124" t="s">
        <v>8</v>
      </c>
      <c r="J16" s="125"/>
    </row>
    <row r="17" spans="2:11">
      <c r="B17" s="31"/>
      <c r="C17" s="31"/>
      <c r="D17" s="31"/>
      <c r="G17" s="124" t="s">
        <v>39</v>
      </c>
      <c r="H17" s="125">
        <v>-4.5</v>
      </c>
      <c r="I17" s="124" t="s">
        <v>8</v>
      </c>
      <c r="J17" s="125"/>
    </row>
    <row r="18" spans="2:11">
      <c r="B18" s="31"/>
      <c r="C18" s="31"/>
      <c r="D18" s="31"/>
      <c r="G18" s="124" t="s">
        <v>42</v>
      </c>
      <c r="H18" s="125">
        <v>-800</v>
      </c>
      <c r="I18" s="124" t="s">
        <v>8</v>
      </c>
      <c r="J18" s="125" t="s">
        <v>11</v>
      </c>
    </row>
    <row r="19" spans="2:11">
      <c r="B19" s="31"/>
      <c r="C19" s="31"/>
      <c r="D19" s="31"/>
      <c r="G19" s="124" t="s">
        <v>121</v>
      </c>
      <c r="H19" s="125"/>
      <c r="I19" s="124" t="s">
        <v>8</v>
      </c>
      <c r="J19" s="125" t="s">
        <v>11</v>
      </c>
    </row>
    <row r="20" spans="2:11">
      <c r="B20" s="31"/>
      <c r="C20" s="31"/>
      <c r="D20" s="31"/>
      <c r="G20" s="124" t="s">
        <v>47</v>
      </c>
      <c r="H20" s="125">
        <v>-26.5</v>
      </c>
      <c r="I20" s="124" t="s">
        <v>8</v>
      </c>
      <c r="J20" s="125" t="s">
        <v>11</v>
      </c>
    </row>
    <row r="21" spans="2:11">
      <c r="B21" s="31"/>
      <c r="C21" s="31"/>
      <c r="D21" s="31"/>
      <c r="G21" s="124" t="s">
        <v>116</v>
      </c>
      <c r="H21" s="125"/>
      <c r="I21" s="124" t="s">
        <v>8</v>
      </c>
      <c r="J21" s="125"/>
    </row>
    <row r="22" spans="2:11">
      <c r="B22" s="31"/>
      <c r="C22" s="31"/>
      <c r="D22" s="31"/>
      <c r="G22" s="124" t="s">
        <v>49</v>
      </c>
      <c r="H22" s="125">
        <v>-800</v>
      </c>
      <c r="I22" s="124" t="s">
        <v>8</v>
      </c>
      <c r="J22" s="125"/>
    </row>
    <row r="23" spans="2:11">
      <c r="B23" s="31"/>
      <c r="C23" s="31"/>
      <c r="D23" s="31"/>
      <c r="G23" s="124" t="s">
        <v>117</v>
      </c>
      <c r="H23" s="125"/>
      <c r="I23" s="124" t="s">
        <v>8</v>
      </c>
      <c r="J23" s="125" t="s">
        <v>11</v>
      </c>
    </row>
    <row r="24" spans="2:11">
      <c r="B24" s="31"/>
      <c r="C24" s="31"/>
      <c r="D24" s="31"/>
      <c r="G24" s="124" t="s">
        <v>52</v>
      </c>
      <c r="H24" s="125">
        <v>-7.6</v>
      </c>
      <c r="I24" s="124" t="s">
        <v>8</v>
      </c>
      <c r="J24" s="125"/>
    </row>
    <row r="25" spans="2:11">
      <c r="B25" s="31"/>
      <c r="C25" s="31"/>
      <c r="D25" s="31"/>
      <c r="G25" s="124" t="s">
        <v>102</v>
      </c>
      <c r="H25" s="125">
        <v>-10</v>
      </c>
      <c r="I25" s="124" t="s">
        <v>8</v>
      </c>
      <c r="J25" s="125"/>
    </row>
    <row r="26" spans="2:11">
      <c r="B26" s="31"/>
      <c r="C26" s="31"/>
      <c r="D26" s="31"/>
      <c r="G26" s="124" t="s">
        <v>55</v>
      </c>
      <c r="H26" s="125">
        <v>-34</v>
      </c>
      <c r="I26" s="124" t="s">
        <v>8</v>
      </c>
      <c r="J26" s="125"/>
    </row>
    <row r="27" spans="2:11">
      <c r="B27" s="31"/>
      <c r="C27" s="31"/>
      <c r="D27" s="31"/>
      <c r="G27" s="124" t="s">
        <v>56</v>
      </c>
      <c r="H27" s="125">
        <v>-80</v>
      </c>
      <c r="I27" s="124" t="s">
        <v>8</v>
      </c>
      <c r="J27" s="125" t="s">
        <v>11</v>
      </c>
    </row>
    <row r="28" spans="2:11">
      <c r="B28" s="31"/>
      <c r="C28" s="31"/>
      <c r="D28" s="31"/>
      <c r="G28" s="124" t="s">
        <v>127</v>
      </c>
      <c r="H28" s="125"/>
      <c r="I28" s="124" t="s">
        <v>8</v>
      </c>
      <c r="J28" s="125"/>
      <c r="K28" s="15"/>
    </row>
    <row r="29" spans="2:11">
      <c r="B29" s="31"/>
      <c r="C29" s="31"/>
      <c r="D29" s="31"/>
      <c r="G29" s="124" t="s">
        <v>57</v>
      </c>
      <c r="H29" s="125">
        <v>-58</v>
      </c>
      <c r="I29" s="124" t="s">
        <v>8</v>
      </c>
      <c r="J29" s="125" t="s">
        <v>11</v>
      </c>
    </row>
    <row r="30" spans="2:11">
      <c r="B30" s="31"/>
      <c r="C30" s="31"/>
      <c r="D30" s="31"/>
      <c r="G30" s="124" t="s">
        <v>79</v>
      </c>
      <c r="H30" s="125">
        <v>-12</v>
      </c>
      <c r="I30" s="124" t="s">
        <v>8</v>
      </c>
      <c r="J30" s="125"/>
    </row>
    <row r="31" spans="2:11">
      <c r="B31" s="31"/>
      <c r="C31" s="31"/>
      <c r="D31" s="31"/>
      <c r="F31" s="30"/>
      <c r="G31" s="124" t="s">
        <v>82</v>
      </c>
      <c r="H31" s="125"/>
      <c r="I31" s="124" t="s">
        <v>8</v>
      </c>
      <c r="J31" s="125"/>
    </row>
    <row r="32" spans="2:11">
      <c r="B32" s="31"/>
      <c r="C32" s="31"/>
      <c r="D32" s="31"/>
      <c r="F32" s="30"/>
      <c r="G32" s="124"/>
      <c r="H32" s="125"/>
      <c r="I32" s="124" t="s">
        <v>8</v>
      </c>
      <c r="J32" s="125" t="s">
        <v>11</v>
      </c>
    </row>
    <row r="33" spans="1:10">
      <c r="A33" s="31"/>
      <c r="B33" s="31"/>
      <c r="C33" s="31"/>
      <c r="D33" s="31"/>
      <c r="F33" s="30"/>
      <c r="G33" s="124" t="s">
        <v>114</v>
      </c>
      <c r="H33" s="125"/>
      <c r="I33" s="124" t="s">
        <v>8</v>
      </c>
      <c r="J33" s="17"/>
    </row>
    <row r="34" spans="1:10">
      <c r="A34" s="31"/>
      <c r="B34" s="31"/>
      <c r="C34" s="31"/>
      <c r="D34" s="31"/>
      <c r="F34" s="30"/>
      <c r="G34" s="124" t="s">
        <v>212</v>
      </c>
      <c r="H34" s="125">
        <v>-125</v>
      </c>
      <c r="I34" s="124" t="s">
        <v>8</v>
      </c>
      <c r="J34" s="17"/>
    </row>
    <row r="35" spans="1:10">
      <c r="A35" s="31"/>
      <c r="B35" s="31"/>
      <c r="C35" s="31"/>
      <c r="D35" s="31"/>
      <c r="F35" s="30"/>
      <c r="G35" s="17" t="s">
        <v>85</v>
      </c>
      <c r="H35" s="125">
        <v>-50</v>
      </c>
      <c r="I35" s="124" t="s">
        <v>8</v>
      </c>
      <c r="J35" s="17" t="s">
        <v>11</v>
      </c>
    </row>
    <row r="36" spans="1:10">
      <c r="A36" s="31"/>
      <c r="B36" s="31"/>
      <c r="C36" s="31"/>
      <c r="D36" s="31"/>
      <c r="F36" s="30"/>
      <c r="G36" s="17"/>
      <c r="H36" s="125"/>
      <c r="I36" s="124" t="s">
        <v>8</v>
      </c>
      <c r="J36" s="17"/>
    </row>
    <row r="37" spans="1:10">
      <c r="A37" s="31"/>
      <c r="B37" s="31"/>
      <c r="C37" s="31"/>
      <c r="D37" s="31"/>
      <c r="F37" s="30"/>
      <c r="G37" s="17"/>
      <c r="H37" s="125"/>
      <c r="I37" s="124" t="s">
        <v>8</v>
      </c>
      <c r="J37" s="17"/>
    </row>
    <row r="38" spans="1:10">
      <c r="A38" s="31"/>
      <c r="B38" s="31"/>
      <c r="C38" s="31"/>
      <c r="D38" s="31"/>
      <c r="F38" s="30"/>
      <c r="I38" s="129" t="s">
        <v>8</v>
      </c>
    </row>
    <row r="39" spans="1:10">
      <c r="A39" s="31"/>
      <c r="B39" s="31"/>
      <c r="C39" s="31"/>
      <c r="D39" s="31"/>
      <c r="F39" s="30"/>
    </row>
    <row r="40" spans="1:10">
      <c r="A40" s="31"/>
      <c r="B40" s="31"/>
      <c r="C40" s="31"/>
      <c r="D40" s="31"/>
      <c r="F40" s="30"/>
    </row>
    <row r="41" spans="1:10">
      <c r="A41" s="157"/>
      <c r="B41" s="158"/>
      <c r="C41" s="32"/>
      <c r="F41" s="30"/>
    </row>
    <row r="42" spans="1:10">
      <c r="A42" s="157"/>
      <c r="B42" s="158"/>
      <c r="C42" s="32"/>
      <c r="F42" s="30"/>
    </row>
    <row r="43" spans="1:10">
      <c r="A43" s="157"/>
      <c r="B43" s="158"/>
      <c r="C43" s="32"/>
      <c r="F43" s="30"/>
    </row>
    <row r="44" spans="1:10">
      <c r="A44" s="31"/>
      <c r="B44" s="158"/>
      <c r="C44" s="32"/>
      <c r="F44" s="30"/>
    </row>
    <row r="45" spans="1:10">
      <c r="A45" s="31"/>
      <c r="C45" s="32"/>
      <c r="F45" s="30"/>
    </row>
    <row r="46" spans="1:10">
      <c r="A46" s="158"/>
      <c r="C46" s="32"/>
      <c r="F46" s="30"/>
    </row>
  </sheetData>
  <autoFilter ref="G1:J32" xr:uid="{00000000-0009-0000-0000-00001C000000}"/>
  <conditionalFormatting sqref="G2:J2 G3:H11 J3:J31 I3:I38 G12 G13:H31 G33:H34">
    <cfRule type="expression" dxfId="60" priority="2">
      <formula>#REF!</formula>
    </cfRule>
  </conditionalFormatting>
  <conditionalFormatting sqref="H35:H37">
    <cfRule type="expression" dxfId="59" priority="1">
      <formula>#REF!</formula>
    </cfRule>
  </conditionalFormatting>
  <conditionalFormatting sqref="J2:J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{9E46EB51-F476-4D1E-972C-CB2BE8D242A6}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46EB51-F476-4D1E-972C-CB2BE8D24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1">
    <tabColor rgb="FFFF0000"/>
  </sheetPr>
  <dimension ref="A1:IS48"/>
  <sheetViews>
    <sheetView zoomScale="160" zoomScaleNormal="160" workbookViewId="0">
      <selection activeCell="D7" sqref="D7"/>
    </sheetView>
  </sheetViews>
  <sheetFormatPr defaultColWidth="0" defaultRowHeight="14.5"/>
  <cols>
    <col min="1" max="2" width="1.08203125" style="3" customWidth="1"/>
    <col min="3" max="3" width="23.5" style="1" bestFit="1" customWidth="1"/>
    <col min="4" max="4" width="17.5" style="3" customWidth="1"/>
    <col min="5" max="5" width="1.08203125" style="2" customWidth="1"/>
    <col min="6" max="6" width="17" style="3" bestFit="1" customWidth="1"/>
    <col min="7" max="7" width="0.58203125" style="3" customWidth="1"/>
    <col min="8" max="8" width="1.08203125" style="3" customWidth="1"/>
    <col min="9" max="9" width="20.58203125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3" width="0" style="3" hidden="1"/>
    <col min="16384" max="16384" width="0" style="3" hidden="1" customWidth="1"/>
  </cols>
  <sheetData>
    <row r="1" spans="3:12" ht="9" customHeight="1" thickBot="1">
      <c r="C1" s="31"/>
      <c r="E1" s="32"/>
      <c r="F1"/>
    </row>
    <row r="2" spans="3:12" ht="15" thickBot="1">
      <c r="C2" s="106" t="s">
        <v>0</v>
      </c>
      <c r="D2" s="31"/>
      <c r="E2" s="3"/>
      <c r="F2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19">
        <v>5250</v>
      </c>
      <c r="E3" s="3"/>
      <c r="F3"/>
      <c r="I3" s="124" t="s">
        <v>7</v>
      </c>
      <c r="J3" s="125">
        <v>-1267</v>
      </c>
      <c r="K3" s="124" t="s">
        <v>8</v>
      </c>
      <c r="L3" s="12"/>
    </row>
    <row r="4" spans="3:12">
      <c r="C4" s="187" t="s">
        <v>9</v>
      </c>
      <c r="D4" s="192">
        <f>SUMIF(K3:K29,"Yes*",J3:J29)</f>
        <v>0</v>
      </c>
      <c r="E4" s="3"/>
      <c r="F4"/>
      <c r="I4" s="124" t="s">
        <v>49</v>
      </c>
      <c r="J4" s="125">
        <v>-900</v>
      </c>
      <c r="K4" s="124" t="s">
        <v>8</v>
      </c>
      <c r="L4" s="12" t="s">
        <v>11</v>
      </c>
    </row>
    <row r="5" spans="3:12">
      <c r="C5" s="104" t="s">
        <v>12</v>
      </c>
      <c r="D5" s="119">
        <v>5250</v>
      </c>
      <c r="E5" s="3"/>
      <c r="F5"/>
      <c r="H5" s="9"/>
      <c r="I5" s="124" t="s">
        <v>499</v>
      </c>
      <c r="J5" s="125">
        <v>-800</v>
      </c>
      <c r="K5" s="124" t="s">
        <v>8</v>
      </c>
      <c r="L5" s="12"/>
    </row>
    <row r="6" spans="3:12" ht="15" thickBot="1">
      <c r="C6" s="189" t="s">
        <v>15</v>
      </c>
      <c r="D6" s="196">
        <f>SUMIF(K3:K39,"No",J3:J39)</f>
        <v>-3947.6899999999996</v>
      </c>
      <c r="E6" s="3"/>
      <c r="F6"/>
      <c r="I6" s="124" t="s">
        <v>159</v>
      </c>
      <c r="J6" s="125">
        <v>-60</v>
      </c>
      <c r="K6" s="124" t="s">
        <v>8</v>
      </c>
      <c r="L6" s="12" t="s">
        <v>11</v>
      </c>
    </row>
    <row r="7" spans="3:12" ht="15" thickBot="1">
      <c r="C7" s="28" t="s">
        <v>18</v>
      </c>
      <c r="D7" s="121">
        <f>D6+D5</f>
        <v>1302.3100000000004</v>
      </c>
      <c r="E7" s="3" t="s">
        <v>19</v>
      </c>
      <c r="F7"/>
      <c r="I7" s="124" t="s">
        <v>33</v>
      </c>
      <c r="J7" s="125">
        <v>-225</v>
      </c>
      <c r="K7" s="124" t="s">
        <v>8</v>
      </c>
      <c r="L7" s="12"/>
    </row>
    <row r="8" spans="3:12" ht="15" thickBot="1">
      <c r="C8" s="127" t="s">
        <v>22</v>
      </c>
      <c r="D8" s="194">
        <f>SUMIF(L3:L33,"f",J3:J33)</f>
        <v>-1240</v>
      </c>
      <c r="E8" s="30"/>
      <c r="F8"/>
      <c r="I8" s="124" t="s">
        <v>24</v>
      </c>
      <c r="J8" s="125">
        <v>-155</v>
      </c>
      <c r="K8" s="124" t="s">
        <v>8</v>
      </c>
      <c r="L8" s="12"/>
    </row>
    <row r="9" spans="3:12">
      <c r="C9" s="31"/>
      <c r="E9" s="30"/>
      <c r="F9"/>
      <c r="I9" s="124" t="s">
        <v>84</v>
      </c>
      <c r="J9" s="125">
        <v>-140</v>
      </c>
      <c r="K9" s="124" t="s">
        <v>8</v>
      </c>
      <c r="L9" s="12" t="s">
        <v>11</v>
      </c>
    </row>
    <row r="10" spans="3:12">
      <c r="C10" s="31"/>
      <c r="D10"/>
      <c r="E10"/>
      <c r="F10"/>
      <c r="I10" s="124" t="s">
        <v>56</v>
      </c>
      <c r="J10" s="125">
        <v>-80</v>
      </c>
      <c r="K10" s="124" t="s">
        <v>8</v>
      </c>
      <c r="L10" s="12" t="s">
        <v>11</v>
      </c>
    </row>
    <row r="11" spans="3:12" ht="14">
      <c r="C11"/>
      <c r="D11"/>
      <c r="E11"/>
      <c r="F11"/>
      <c r="I11" s="124" t="s">
        <v>17</v>
      </c>
      <c r="J11" s="125">
        <v>-35</v>
      </c>
      <c r="K11" s="124" t="s">
        <v>8</v>
      </c>
      <c r="L11" s="12"/>
    </row>
    <row r="12" spans="3:12" ht="14">
      <c r="C12"/>
      <c r="D12"/>
      <c r="E12"/>
      <c r="F12"/>
      <c r="I12" s="124" t="s">
        <v>25</v>
      </c>
      <c r="J12" s="125">
        <v>-35</v>
      </c>
      <c r="K12" s="124" t="s">
        <v>8</v>
      </c>
      <c r="L12" s="12"/>
    </row>
    <row r="13" spans="3:12">
      <c r="C13" s="31"/>
      <c r="E13"/>
      <c r="F13"/>
      <c r="I13" s="124" t="s">
        <v>55</v>
      </c>
      <c r="J13" s="125">
        <v>-33</v>
      </c>
      <c r="K13" s="124" t="s">
        <v>8</v>
      </c>
      <c r="L13" s="12"/>
    </row>
    <row r="14" spans="3:12">
      <c r="C14" s="31"/>
      <c r="E14"/>
      <c r="F14"/>
      <c r="I14" s="124" t="s">
        <v>57</v>
      </c>
      <c r="J14" s="125">
        <v>-33</v>
      </c>
      <c r="K14" s="124" t="s">
        <v>8</v>
      </c>
      <c r="L14" s="12" t="s">
        <v>11</v>
      </c>
    </row>
    <row r="15" spans="3:12">
      <c r="C15" s="31"/>
      <c r="D15" s="9"/>
      <c r="E15" s="32"/>
      <c r="I15" s="124" t="s">
        <v>14</v>
      </c>
      <c r="J15" s="125">
        <v>-28.4</v>
      </c>
      <c r="K15" s="124" t="s">
        <v>8</v>
      </c>
      <c r="L15" s="12"/>
    </row>
    <row r="16" spans="3:12">
      <c r="C16" s="31"/>
      <c r="D16" s="9"/>
      <c r="E16" s="32"/>
      <c r="I16" s="124" t="s">
        <v>34</v>
      </c>
      <c r="J16" s="125">
        <v>-28</v>
      </c>
      <c r="K16" s="124" t="s">
        <v>8</v>
      </c>
      <c r="L16" s="12"/>
    </row>
    <row r="17" spans="1:13">
      <c r="C17" s="31"/>
      <c r="E17" s="32"/>
      <c r="I17" s="124" t="s">
        <v>47</v>
      </c>
      <c r="J17" s="125">
        <v>-27</v>
      </c>
      <c r="K17" s="124" t="s">
        <v>8</v>
      </c>
      <c r="L17" s="12" t="s">
        <v>11</v>
      </c>
    </row>
    <row r="18" spans="1:13">
      <c r="C18" s="31"/>
      <c r="E18" s="32"/>
      <c r="I18" s="124" t="s">
        <v>497</v>
      </c>
      <c r="J18" s="126">
        <v>-18</v>
      </c>
      <c r="K18" s="124" t="s">
        <v>8</v>
      </c>
      <c r="L18" s="12"/>
    </row>
    <row r="19" spans="1:13">
      <c r="C19" s="31"/>
      <c r="E19" s="32"/>
      <c r="I19" s="124" t="s">
        <v>27</v>
      </c>
      <c r="J19" s="125">
        <v>-20</v>
      </c>
      <c r="K19" s="124" t="s">
        <v>8</v>
      </c>
      <c r="L19" s="12"/>
    </row>
    <row r="20" spans="1:13">
      <c r="C20" s="31"/>
      <c r="E20" s="32"/>
      <c r="I20" s="124" t="s">
        <v>21</v>
      </c>
      <c r="J20" s="125">
        <v>-13.2</v>
      </c>
      <c r="K20" s="124" t="s">
        <v>8</v>
      </c>
      <c r="L20" s="12"/>
    </row>
    <row r="21" spans="1:13">
      <c r="I21" s="124" t="s">
        <v>34</v>
      </c>
      <c r="J21" s="125">
        <v>-13</v>
      </c>
      <c r="K21" s="124" t="s">
        <v>8</v>
      </c>
      <c r="L21" s="12"/>
    </row>
    <row r="22" spans="1:13">
      <c r="I22" s="124" t="s">
        <v>157</v>
      </c>
      <c r="J22" s="125">
        <v>-11.7</v>
      </c>
      <c r="K22" s="124" t="s">
        <v>8</v>
      </c>
      <c r="L22" s="12"/>
    </row>
    <row r="23" spans="1:13">
      <c r="I23" s="124" t="s">
        <v>102</v>
      </c>
      <c r="J23" s="125">
        <v>-10</v>
      </c>
      <c r="K23" s="124" t="s">
        <v>8</v>
      </c>
      <c r="L23" s="12"/>
    </row>
    <row r="24" spans="1:13">
      <c r="I24" s="124" t="s">
        <v>30</v>
      </c>
      <c r="J24" s="125">
        <v>-7.99</v>
      </c>
      <c r="K24" s="124" t="s">
        <v>8</v>
      </c>
      <c r="L24" s="12"/>
    </row>
    <row r="25" spans="1:13">
      <c r="I25" s="124" t="s">
        <v>52</v>
      </c>
      <c r="J25" s="125">
        <v>-7.4</v>
      </c>
      <c r="K25" s="124" t="s">
        <v>8</v>
      </c>
      <c r="L25" s="12"/>
    </row>
    <row r="26" spans="1:13">
      <c r="I26" s="124"/>
      <c r="J26" s="125"/>
      <c r="K26" s="124" t="s">
        <v>8</v>
      </c>
      <c r="L26" s="12"/>
    </row>
    <row r="27" spans="1:13">
      <c r="I27" s="124"/>
      <c r="J27" s="125"/>
      <c r="K27" s="124" t="s">
        <v>8</v>
      </c>
      <c r="L27" s="12"/>
    </row>
    <row r="28" spans="1:13">
      <c r="I28" s="124"/>
      <c r="J28" s="125"/>
      <c r="K28" s="124" t="s">
        <v>8</v>
      </c>
      <c r="L28" s="12"/>
    </row>
    <row r="29" spans="1:13">
      <c r="I29" s="124"/>
      <c r="J29" s="125"/>
      <c r="K29" s="124" t="s">
        <v>8</v>
      </c>
      <c r="L29" s="12"/>
      <c r="M29" s="15"/>
    </row>
    <row r="30" spans="1:13">
      <c r="I30" s="124"/>
      <c r="J30" s="125"/>
      <c r="K30" s="124" t="s">
        <v>8</v>
      </c>
      <c r="L30" s="12"/>
    </row>
    <row r="31" spans="1:13">
      <c r="A31" s="14"/>
      <c r="B31" s="14"/>
      <c r="I31" s="124"/>
      <c r="J31" s="125"/>
      <c r="K31" s="124" t="s">
        <v>8</v>
      </c>
      <c r="L31" s="12"/>
    </row>
    <row r="32" spans="1:13">
      <c r="H32" s="30"/>
      <c r="I32" s="124"/>
      <c r="J32" s="125"/>
      <c r="K32" s="124" t="s">
        <v>8</v>
      </c>
      <c r="L32" s="12" t="s">
        <v>11</v>
      </c>
    </row>
    <row r="33" spans="8:12">
      <c r="H33" s="30"/>
      <c r="I33" s="124"/>
      <c r="J33" s="125"/>
      <c r="K33" s="124" t="s">
        <v>8</v>
      </c>
      <c r="L33" s="12"/>
    </row>
    <row r="34" spans="8:12">
      <c r="H34" s="30"/>
      <c r="I34" s="124"/>
      <c r="J34" s="125"/>
      <c r="K34" s="124" t="s">
        <v>8</v>
      </c>
    </row>
    <row r="35" spans="8:12">
      <c r="H35" s="30"/>
      <c r="I35" s="124"/>
      <c r="J35" s="125"/>
      <c r="K35" s="124" t="s">
        <v>8</v>
      </c>
    </row>
    <row r="36" spans="8:12">
      <c r="H36" s="30"/>
      <c r="I36" s="17"/>
      <c r="J36" s="125"/>
      <c r="K36" s="124" t="s">
        <v>8</v>
      </c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1D000000}">
    <sortState xmlns:xlrd2="http://schemas.microsoft.com/office/spreadsheetml/2017/richdata2" ref="I3:L33">
      <sortCondition ref="J2:J33"/>
    </sortState>
  </autoFilter>
  <conditionalFormatting sqref="I3:K3 I4:J12 K4:K36 I13 I14:J32 I34:J35">
    <cfRule type="expression" dxfId="58" priority="2">
      <formula>$A$3</formula>
    </cfRule>
  </conditionalFormatting>
  <conditionalFormatting sqref="J36">
    <cfRule type="expression" dxfId="57" priority="1">
      <formula>$A$3</formula>
    </cfRule>
  </conditionalFormatting>
  <conditionalFormatting sqref="L3:L32">
    <cfRule type="expression" dxfId="56" priority="3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ABA6-1614-4C52-90C2-5D0ADAFF8DCB}">
  <sheetPr>
    <tabColor rgb="FFFFC000"/>
  </sheetPr>
  <dimension ref="A1:M52"/>
  <sheetViews>
    <sheetView zoomScale="115" zoomScaleNormal="115" workbookViewId="0">
      <pane ySplit="1" topLeftCell="A2" activePane="bottomLeft" state="frozen"/>
      <selection activeCell="B1" sqref="B1"/>
      <selection pane="bottomLeft" activeCell="B9" sqref="B9"/>
    </sheetView>
  </sheetViews>
  <sheetFormatPr defaultRowHeight="14"/>
  <cols>
    <col min="1" max="1" width="10.08203125" bestFit="1" customWidth="1"/>
    <col min="2" max="2" width="14.08203125" bestFit="1" customWidth="1"/>
    <col min="3" max="3" width="12.08203125" style="128" bestFit="1" customWidth="1"/>
    <col min="4" max="4" width="7.58203125" style="128" bestFit="1" customWidth="1"/>
    <col min="5" max="5" width="11" style="128" bestFit="1" customWidth="1"/>
    <col min="6" max="6" width="10.08203125" style="128" bestFit="1" customWidth="1"/>
    <col min="7" max="7" width="8.58203125" bestFit="1" customWidth="1"/>
    <col min="8" max="8" width="6.58203125" bestFit="1" customWidth="1"/>
    <col min="9" max="9" width="18" style="128" bestFit="1" customWidth="1"/>
    <col min="10" max="10" width="15.08203125" bestFit="1" customWidth="1"/>
    <col min="11" max="11" width="14.08203125" bestFit="1" customWidth="1"/>
    <col min="12" max="12" width="12" bestFit="1" customWidth="1"/>
    <col min="13" max="13" width="10.5" bestFit="1" customWidth="1"/>
    <col min="14" max="14" width="7.58203125" customWidth="1"/>
  </cols>
  <sheetData>
    <row r="1" spans="1:13">
      <c r="A1" s="86" t="s">
        <v>213</v>
      </c>
      <c r="B1" s="151" t="s">
        <v>214</v>
      </c>
      <c r="C1" s="146" t="s">
        <v>215</v>
      </c>
      <c r="D1" s="146" t="s">
        <v>216</v>
      </c>
      <c r="E1" s="146" t="s">
        <v>217</v>
      </c>
      <c r="F1" s="146" t="s">
        <v>218</v>
      </c>
      <c r="G1" s="17" t="s">
        <v>18</v>
      </c>
      <c r="H1" s="17" t="s">
        <v>219</v>
      </c>
      <c r="I1" s="146" t="s">
        <v>220</v>
      </c>
      <c r="J1" s="17" t="s">
        <v>221</v>
      </c>
      <c r="K1" s="17" t="s">
        <v>222</v>
      </c>
      <c r="L1" s="161" t="s">
        <v>223</v>
      </c>
      <c r="M1" s="179" t="s">
        <v>224</v>
      </c>
    </row>
    <row r="2" spans="1:13">
      <c r="A2" s="154">
        <v>45423</v>
      </c>
      <c r="B2" s="152" t="s">
        <v>488</v>
      </c>
      <c r="C2" s="87">
        <v>65</v>
      </c>
      <c r="D2" s="87">
        <v>8.6</v>
      </c>
      <c r="E2" s="87">
        <v>4.79</v>
      </c>
      <c r="F2" s="87">
        <f>Table13[[#This Row],[Money In]]-Table13[[#This Row],[Fee]]</f>
        <v>56.4</v>
      </c>
      <c r="G2" s="130">
        <f>C2-E2-Table13[[#This Row],[Fee]]</f>
        <v>51.61</v>
      </c>
      <c r="H2" s="147"/>
      <c r="I2" s="87">
        <v>5</v>
      </c>
      <c r="J2" s="130">
        <f>Table13[[#This Row],[Postage Quoted]]-Table13[[#This Row],[Postage]]</f>
        <v>0.20999999999999996</v>
      </c>
      <c r="K2" s="86" t="s">
        <v>228</v>
      </c>
      <c r="L2" s="162" t="s">
        <v>228</v>
      </c>
    </row>
    <row r="3" spans="1:13">
      <c r="A3" s="154">
        <v>45428</v>
      </c>
      <c r="B3" s="152" t="s">
        <v>489</v>
      </c>
      <c r="C3" s="87">
        <v>35.450000000000003</v>
      </c>
      <c r="D3" s="87">
        <v>4.68</v>
      </c>
      <c r="E3" s="87">
        <v>4.79</v>
      </c>
      <c r="F3" s="87">
        <f>Table13[[#This Row],[Money In]]-Table13[[#This Row],[Fee]]</f>
        <v>30.770000000000003</v>
      </c>
      <c r="G3" s="130">
        <f>C3-E3-Table13[[#This Row],[Fee]]</f>
        <v>25.980000000000004</v>
      </c>
      <c r="H3" s="147"/>
      <c r="I3" s="87">
        <v>5</v>
      </c>
      <c r="J3" s="130">
        <f>Table13[[#This Row],[Postage Quoted]]-Table13[[#This Row],[Postage]]</f>
        <v>0.20999999999999996</v>
      </c>
      <c r="K3" s="86" t="s">
        <v>357</v>
      </c>
      <c r="L3" s="162" t="s">
        <v>228</v>
      </c>
    </row>
    <row r="4" spans="1:13">
      <c r="A4" s="154">
        <v>45428</v>
      </c>
      <c r="B4" s="152" t="s">
        <v>490</v>
      </c>
      <c r="C4" s="87">
        <v>40.5</v>
      </c>
      <c r="D4" s="87">
        <v>5.35</v>
      </c>
      <c r="E4" s="87">
        <v>3.84</v>
      </c>
      <c r="F4" s="87">
        <f>Table13[[#This Row],[Money In]]-Table13[[#This Row],[Fee]]</f>
        <v>35.15</v>
      </c>
      <c r="G4" s="130">
        <f>C4-E4-Table13[[#This Row],[Fee]]</f>
        <v>31.309999999999995</v>
      </c>
      <c r="H4" s="147"/>
      <c r="I4" s="87">
        <v>7.5</v>
      </c>
      <c r="J4" s="130">
        <f>Table13[[#This Row],[Postage Quoted]]-Table13[[#This Row],[Postage]]</f>
        <v>3.66</v>
      </c>
      <c r="K4" s="86" t="s">
        <v>357</v>
      </c>
      <c r="L4" s="162" t="s">
        <v>228</v>
      </c>
    </row>
    <row r="5" spans="1:13">
      <c r="A5" s="154">
        <v>45428</v>
      </c>
      <c r="B5" s="152" t="s">
        <v>491</v>
      </c>
      <c r="C5" s="87">
        <v>15.5</v>
      </c>
      <c r="D5" s="87">
        <v>2.04</v>
      </c>
      <c r="E5" s="87">
        <v>4.79</v>
      </c>
      <c r="F5" s="87">
        <f>Table13[[#This Row],[Money In]]-Table13[[#This Row],[Fee]]</f>
        <v>13.46</v>
      </c>
      <c r="G5" s="130">
        <f>Table13[[#This Row],[Money In]]-Table13[[#This Row],[Postage]]-Table13[[#This Row],[Fee]]</f>
        <v>8.6700000000000017</v>
      </c>
      <c r="H5" s="147"/>
      <c r="I5" s="87">
        <v>5</v>
      </c>
      <c r="J5" s="130">
        <f>Table13[[#This Row],[Postage Quoted]]-Table13[[#This Row],[Postage]]</f>
        <v>0.20999999999999996</v>
      </c>
      <c r="K5" s="86" t="s">
        <v>357</v>
      </c>
      <c r="L5" s="162" t="s">
        <v>228</v>
      </c>
    </row>
    <row r="6" spans="1:13">
      <c r="A6" s="154">
        <v>45428</v>
      </c>
      <c r="B6" s="152" t="s">
        <v>492</v>
      </c>
      <c r="C6" s="87">
        <v>15.5</v>
      </c>
      <c r="D6" s="87">
        <v>2.04</v>
      </c>
      <c r="E6" s="87">
        <v>4.79</v>
      </c>
      <c r="F6" s="87">
        <f>Table13[[#This Row],[Money In]]-Table13[[#This Row],[Fee]]</f>
        <v>13.46</v>
      </c>
      <c r="G6" s="130">
        <f>Table13[[#This Row],[Money In]]-Table13[[#This Row],[Postage]]-Table13[[#This Row],[Fee]]</f>
        <v>8.6700000000000017</v>
      </c>
      <c r="H6" s="147"/>
      <c r="I6" s="87">
        <v>5</v>
      </c>
      <c r="J6" s="130">
        <f>Table13[[#This Row],[Postage Quoted]]-Table13[[#This Row],[Postage]]</f>
        <v>0.20999999999999996</v>
      </c>
      <c r="K6" s="86" t="s">
        <v>357</v>
      </c>
      <c r="L6" s="162" t="s">
        <v>228</v>
      </c>
    </row>
    <row r="7" spans="1:13">
      <c r="A7" s="154">
        <v>45430</v>
      </c>
      <c r="B7" s="152" t="s">
        <v>493</v>
      </c>
      <c r="C7" s="87">
        <v>100</v>
      </c>
      <c r="D7" s="87">
        <v>13.22</v>
      </c>
      <c r="E7" s="87">
        <v>7.99</v>
      </c>
      <c r="F7" s="87">
        <f>Table13[[#This Row],[Money In]]-Table13[[#This Row],[Fee]]</f>
        <v>86.78</v>
      </c>
      <c r="G7" s="130">
        <f>Table13[[#This Row],[Money In]]-Table13[[#This Row],[Postage]]-Table13[[#This Row],[Fee]]</f>
        <v>78.790000000000006</v>
      </c>
      <c r="H7" s="147"/>
      <c r="I7" s="87">
        <v>10</v>
      </c>
      <c r="J7" s="130">
        <f>Table13[[#This Row],[Postage Quoted]]-Table13[[#This Row],[Postage]]</f>
        <v>2.0099999999999998</v>
      </c>
      <c r="K7" s="86" t="s">
        <v>357</v>
      </c>
      <c r="L7" s="162" t="s">
        <v>228</v>
      </c>
    </row>
    <row r="8" spans="1:13">
      <c r="A8" s="154">
        <v>45431</v>
      </c>
      <c r="B8" s="152" t="s">
        <v>500</v>
      </c>
      <c r="C8" s="87">
        <v>10</v>
      </c>
      <c r="D8" s="87">
        <v>1.33</v>
      </c>
      <c r="E8" s="87">
        <v>3.39</v>
      </c>
      <c r="F8" s="87">
        <f>Table13[[#This Row],[Money In]]-Table13[[#This Row],[Fee]]</f>
        <v>8.67</v>
      </c>
      <c r="G8" s="130">
        <f>Table13[[#This Row],[Money In]]-Table13[[#This Row],[Postage]]-Table13[[#This Row],[Fee]]</f>
        <v>5.2799999999999994</v>
      </c>
      <c r="H8" s="147"/>
      <c r="I8" s="87">
        <v>5</v>
      </c>
      <c r="J8" s="130">
        <f>Table13[[#This Row],[Postage Quoted]]-Table13[[#This Row],[Postage]]</f>
        <v>1.6099999999999999</v>
      </c>
      <c r="K8" s="86" t="s">
        <v>357</v>
      </c>
      <c r="L8" s="162" t="s">
        <v>228</v>
      </c>
    </row>
    <row r="9" spans="1:13">
      <c r="A9" s="154"/>
      <c r="B9" s="152"/>
      <c r="C9" s="87"/>
      <c r="D9" s="87"/>
      <c r="E9" s="87"/>
      <c r="F9" s="87">
        <f>Table13[[#This Row],[Money In]]-Table13[[#This Row],[Fee]]</f>
        <v>0</v>
      </c>
      <c r="G9" s="130">
        <f>Table13[[#This Row],[Money In]]-Table13[[#This Row],[Postage]]-Table13[[#This Row],[Fee]]</f>
        <v>0</v>
      </c>
      <c r="H9" s="147"/>
      <c r="I9" s="87"/>
      <c r="J9" s="130">
        <f>Table13[[#This Row],[Postage Quoted]]-Table13[[#This Row],[Postage]]</f>
        <v>0</v>
      </c>
      <c r="K9" s="86"/>
      <c r="L9" s="162"/>
    </row>
    <row r="10" spans="1:13">
      <c r="A10" s="154"/>
      <c r="B10" s="152"/>
      <c r="C10" s="87"/>
      <c r="D10" s="87"/>
      <c r="E10" s="87"/>
      <c r="F10" s="87">
        <f>Table13[[#This Row],[Money In]]-Table13[[#This Row],[Fee]]</f>
        <v>0</v>
      </c>
      <c r="G10" s="130">
        <f>Table13[[#This Row],[Money In]]-Table13[[#This Row],[Postage]]-Table13[[#This Row],[Fee]]</f>
        <v>0</v>
      </c>
      <c r="H10" s="147"/>
      <c r="I10" s="87"/>
      <c r="J10" s="130">
        <f>Table13[[#This Row],[Postage Quoted]]-Table13[[#This Row],[Postage]]</f>
        <v>0</v>
      </c>
      <c r="K10" s="86"/>
      <c r="L10" s="162"/>
    </row>
    <row r="11" spans="1:13">
      <c r="A11" s="154"/>
      <c r="B11" s="152"/>
      <c r="C11" s="87"/>
      <c r="D11" s="87"/>
      <c r="E11" s="87"/>
      <c r="F11" s="87">
        <f>Table13[[#This Row],[Money In]]-Table13[[#This Row],[Fee]]</f>
        <v>0</v>
      </c>
      <c r="G11" s="130">
        <f>Table13[[#This Row],[Money In]]-Table13[[#This Row],[Postage]]-Table13[[#This Row],[Fee]]</f>
        <v>0</v>
      </c>
      <c r="H11" s="147"/>
      <c r="I11" s="87"/>
      <c r="J11" s="130">
        <f>Table13[[#This Row],[Postage Quoted]]-Table13[[#This Row],[Postage]]</f>
        <v>0</v>
      </c>
      <c r="K11" s="86"/>
      <c r="L11" s="162"/>
    </row>
    <row r="12" spans="1:13">
      <c r="A12" s="154"/>
      <c r="B12" s="152"/>
      <c r="C12" s="87"/>
      <c r="D12" s="87"/>
      <c r="E12" s="87"/>
      <c r="F12" s="87">
        <f>Table13[[#This Row],[Money In]]-Table13[[#This Row],[Fee]]</f>
        <v>0</v>
      </c>
      <c r="G12" s="130">
        <f>Table13[[#This Row],[Money In]]-Table13[[#This Row],[Postage]]-Table13[[#This Row],[Fee]]</f>
        <v>0</v>
      </c>
      <c r="H12" s="147"/>
      <c r="I12" s="87"/>
      <c r="J12" s="130">
        <f>Table13[[#This Row],[Postage Quoted]]-Table13[[#This Row],[Postage]]</f>
        <v>0</v>
      </c>
      <c r="K12" s="86"/>
      <c r="L12" s="162"/>
    </row>
    <row r="13" spans="1:13">
      <c r="A13" s="154"/>
      <c r="B13" s="152"/>
      <c r="C13" s="87"/>
      <c r="D13" s="87"/>
      <c r="E13" s="87"/>
      <c r="F13" s="87">
        <f>Table13[[#This Row],[Money In]]-Table13[[#This Row],[Fee]]</f>
        <v>0</v>
      </c>
      <c r="G13" s="130">
        <f>Table13[[#This Row],[Money In]]-Table13[[#This Row],[Postage]]-Table13[[#This Row],[Fee]]</f>
        <v>0</v>
      </c>
      <c r="H13" s="147"/>
      <c r="I13" s="87"/>
      <c r="J13" s="130">
        <f>Table13[[#This Row],[Postage Quoted]]-Table13[[#This Row],[Postage]]</f>
        <v>0</v>
      </c>
      <c r="K13" s="86"/>
      <c r="L13" s="162"/>
    </row>
    <row r="14" spans="1:13">
      <c r="A14" s="154"/>
      <c r="B14" s="152"/>
      <c r="C14" s="87"/>
      <c r="D14" s="87"/>
      <c r="E14" s="87"/>
      <c r="F14" s="87">
        <f>Table13[[#This Row],[Money In]]-Table13[[#This Row],[Fee]]</f>
        <v>0</v>
      </c>
      <c r="G14" s="130">
        <f>Table13[[#This Row],[Money In]]-Table13[[#This Row],[Postage]]-Table13[[#This Row],[Fee]]</f>
        <v>0</v>
      </c>
      <c r="H14" s="147"/>
      <c r="I14" s="87"/>
      <c r="J14" s="130">
        <f>Table13[[#This Row],[Postage Quoted]]-Table13[[#This Row],[Postage]]</f>
        <v>0</v>
      </c>
      <c r="K14" s="86"/>
      <c r="L14" s="162"/>
    </row>
    <row r="15" spans="1:13">
      <c r="A15" s="154"/>
      <c r="B15" s="152"/>
      <c r="C15" s="87"/>
      <c r="D15" s="87"/>
      <c r="E15" s="87"/>
      <c r="F15" s="87">
        <f>Table13[[#This Row],[Money In]]-Table13[[#This Row],[Fee]]</f>
        <v>0</v>
      </c>
      <c r="G15" s="130">
        <f>Table13[[#This Row],[Money In]]-Table13[[#This Row],[Postage]]-Table13[[#This Row],[Fee]]</f>
        <v>0</v>
      </c>
      <c r="H15" s="147"/>
      <c r="I15" s="87"/>
      <c r="J15" s="130">
        <f>Table13[[#This Row],[Postage Quoted]]-Table13[[#This Row],[Postage]]</f>
        <v>0</v>
      </c>
      <c r="K15" s="86"/>
      <c r="L15" s="162"/>
    </row>
    <row r="16" spans="1:13">
      <c r="A16" s="154"/>
      <c r="B16" s="152"/>
      <c r="C16" s="87"/>
      <c r="D16" s="87"/>
      <c r="E16" s="87"/>
      <c r="F16" s="87">
        <f>Table13[[#This Row],[Money In]]-Table13[[#This Row],[Fee]]</f>
        <v>0</v>
      </c>
      <c r="G16" s="130">
        <f>Table13[[#This Row],[Money In]]-Table13[[#This Row],[Postage]]-Table13[[#This Row],[Fee]]</f>
        <v>0</v>
      </c>
      <c r="H16" s="147"/>
      <c r="I16" s="87"/>
      <c r="J16" s="130">
        <f>Table13[[#This Row],[Postage Quoted]]-Table13[[#This Row],[Postage]]</f>
        <v>0</v>
      </c>
      <c r="K16" s="86"/>
      <c r="L16" s="162"/>
    </row>
    <row r="17" spans="1:13">
      <c r="A17" s="154"/>
      <c r="B17" s="152"/>
      <c r="C17" s="87"/>
      <c r="D17" s="87"/>
      <c r="E17" s="87"/>
      <c r="F17" s="87">
        <f>Table13[[#This Row],[Money In]]-Table13[[#This Row],[Fee]]</f>
        <v>0</v>
      </c>
      <c r="G17" s="130">
        <f>Table13[[#This Row],[Money In]]-Table13[[#This Row],[Postage]]-Table13[[#This Row],[Fee]]</f>
        <v>0</v>
      </c>
      <c r="H17" s="147"/>
      <c r="I17" s="87"/>
      <c r="J17" s="130">
        <f>Table13[[#This Row],[Postage Quoted]]-Table13[[#This Row],[Postage]]</f>
        <v>0</v>
      </c>
      <c r="K17" s="86"/>
      <c r="L17" s="162"/>
    </row>
    <row r="18" spans="1:13">
      <c r="A18" s="154"/>
      <c r="B18" s="152"/>
      <c r="C18" s="87"/>
      <c r="D18" s="87"/>
      <c r="E18" s="87"/>
      <c r="F18" s="87">
        <f>Table13[[#This Row],[Money In]]-Table13[[#This Row],[Fee]]</f>
        <v>0</v>
      </c>
      <c r="G18" s="130">
        <f>Table13[[#This Row],[Money In]]-Table13[[#This Row],[Postage]]-Table13[[#This Row],[Fee]]</f>
        <v>0</v>
      </c>
      <c r="H18" s="147"/>
      <c r="I18" s="87"/>
      <c r="J18" s="130">
        <f>Table13[[#This Row],[Postage Quoted]]-Table13[[#This Row],[Postage]]</f>
        <v>0</v>
      </c>
      <c r="K18" s="86"/>
      <c r="L18" s="162"/>
    </row>
    <row r="19" spans="1:13">
      <c r="A19" s="154"/>
      <c r="B19" s="152"/>
      <c r="C19" s="87"/>
      <c r="D19" s="87"/>
      <c r="E19" s="87"/>
      <c r="F19" s="87">
        <f>Table13[[#This Row],[Money In]]-Table13[[#This Row],[Fee]]</f>
        <v>0</v>
      </c>
      <c r="G19" s="130">
        <f>Table13[[#This Row],[Money In]]-Table13[[#This Row],[Postage]]-Table13[[#This Row],[Fee]]</f>
        <v>0</v>
      </c>
      <c r="H19" s="147"/>
      <c r="I19" s="87"/>
      <c r="J19" s="130">
        <f>Table13[[#This Row],[Postage Quoted]]-Table13[[#This Row],[Postage]]</f>
        <v>0</v>
      </c>
      <c r="K19" s="86"/>
      <c r="L19" s="162"/>
    </row>
    <row r="20" spans="1:13">
      <c r="A20" s="154"/>
      <c r="B20" s="152"/>
      <c r="C20" s="87"/>
      <c r="D20" s="87"/>
      <c r="E20" s="87"/>
      <c r="F20" s="87">
        <f>Table13[[#This Row],[Money In]]-Table13[[#This Row],[Fee]]</f>
        <v>0</v>
      </c>
      <c r="G20" s="130">
        <f>Table13[[#This Row],[Money In]]-Table13[[#This Row],[Postage]]-Table13[[#This Row],[Fee]]</f>
        <v>0</v>
      </c>
      <c r="H20" s="147"/>
      <c r="I20" s="87"/>
      <c r="J20" s="130">
        <f>Table13[[#This Row],[Postage Quoted]]-Table13[[#This Row],[Postage]]</f>
        <v>0</v>
      </c>
      <c r="K20" s="86"/>
      <c r="L20" s="162"/>
    </row>
    <row r="21" spans="1:13">
      <c r="A21" s="154"/>
      <c r="B21" s="152"/>
      <c r="C21" s="87"/>
      <c r="D21" s="87"/>
      <c r="E21" s="87"/>
      <c r="F21" s="87">
        <f>Table13[[#This Row],[Money In]]-Table13[[#This Row],[Fee]]</f>
        <v>0</v>
      </c>
      <c r="G21" s="130">
        <f>Table13[[#This Row],[Money In]]-Table13[[#This Row],[Postage]]-Table13[[#This Row],[Fee]]</f>
        <v>0</v>
      </c>
      <c r="H21" s="147"/>
      <c r="I21" s="87"/>
      <c r="J21" s="130">
        <f>Table13[[#This Row],[Postage Quoted]]-Table13[[#This Row],[Postage]]</f>
        <v>0</v>
      </c>
      <c r="K21" s="86"/>
      <c r="L21" s="162"/>
    </row>
    <row r="22" spans="1:13">
      <c r="A22" s="154"/>
      <c r="B22" s="152"/>
      <c r="C22" s="87"/>
      <c r="D22" s="87"/>
      <c r="E22" s="87"/>
      <c r="F22" s="87">
        <f>Table13[[#This Row],[Money In]]-Table13[[#This Row],[Fee]]</f>
        <v>0</v>
      </c>
      <c r="G22" s="130">
        <f>Table13[[#This Row],[Money In]]-Table13[[#This Row],[Postage]]-Table13[[#This Row],[Fee]]</f>
        <v>0</v>
      </c>
      <c r="H22" s="147"/>
      <c r="I22" s="87"/>
      <c r="J22" s="130">
        <f>Table13[[#This Row],[Postage Quoted]]-Table13[[#This Row],[Postage]]</f>
        <v>0</v>
      </c>
      <c r="K22" s="86"/>
      <c r="L22" s="162"/>
    </row>
    <row r="23" spans="1:13">
      <c r="A23" s="154"/>
      <c r="B23" s="152"/>
      <c r="C23" s="87"/>
      <c r="D23" s="87"/>
      <c r="E23" s="87"/>
      <c r="F23" s="87">
        <f>Table13[[#This Row],[Money In]]-Table13[[#This Row],[Fee]]</f>
        <v>0</v>
      </c>
      <c r="G23" s="130">
        <f>Table13[[#This Row],[Money In]]-Table13[[#This Row],[Postage]]-Table13[[#This Row],[Fee]]</f>
        <v>0</v>
      </c>
      <c r="H23" s="147"/>
      <c r="I23" s="87"/>
      <c r="J23" s="130">
        <f>Table13[[#This Row],[Postage Quoted]]-Table13[[#This Row],[Postage]]</f>
        <v>0</v>
      </c>
      <c r="K23" s="86"/>
      <c r="L23" s="162"/>
    </row>
    <row r="24" spans="1:13">
      <c r="A24" s="154"/>
      <c r="B24" s="152"/>
      <c r="C24" s="87"/>
      <c r="D24" s="87"/>
      <c r="E24" s="87"/>
      <c r="F24" s="87">
        <f>Table13[[#This Row],[Money In]]-Table13[[#This Row],[Fee]]</f>
        <v>0</v>
      </c>
      <c r="G24" s="130">
        <f>Table13[[#This Row],[Money In]]-Table13[[#This Row],[Postage]]-Table13[[#This Row],[Fee]]</f>
        <v>0</v>
      </c>
      <c r="H24" s="147"/>
      <c r="I24" s="87"/>
      <c r="J24" s="130">
        <f>Table13[[#This Row],[Postage Quoted]]-Table13[[#This Row],[Postage]]</f>
        <v>0</v>
      </c>
      <c r="K24" s="86"/>
      <c r="L24" s="162"/>
    </row>
    <row r="25" spans="1:13">
      <c r="A25" s="154"/>
      <c r="B25" s="152"/>
      <c r="C25" s="87"/>
      <c r="D25" s="87"/>
      <c r="E25" s="87"/>
      <c r="F25" s="87">
        <f>Table13[[#This Row],[Money In]]-Table13[[#This Row],[Fee]]</f>
        <v>0</v>
      </c>
      <c r="G25" s="130">
        <f>Table13[[#This Row],[Money In]]-Table13[[#This Row],[Postage]]-Table13[[#This Row],[Fee]]</f>
        <v>0</v>
      </c>
      <c r="H25" s="147"/>
      <c r="I25" s="87"/>
      <c r="J25" s="130">
        <f>Table13[[#This Row],[Postage Quoted]]-Table13[[#This Row],[Postage]]</f>
        <v>0</v>
      </c>
      <c r="K25" s="86"/>
      <c r="L25" s="162"/>
    </row>
    <row r="26" spans="1:13" ht="14.5" thickBot="1"/>
    <row r="27" spans="1:13" ht="14.5" thickBot="1">
      <c r="A27" s="163"/>
      <c r="B27" s="163" t="s">
        <v>343</v>
      </c>
      <c r="C27" s="164">
        <f>SUM(C2:C25)</f>
        <v>281.95</v>
      </c>
      <c r="D27" s="164">
        <f>SUM(D2:D25)</f>
        <v>37.26</v>
      </c>
      <c r="E27" s="164">
        <f>SUM(E2:E25)</f>
        <v>34.380000000000003</v>
      </c>
      <c r="F27" s="164">
        <f>SUM(F2:F25)</f>
        <v>244.69</v>
      </c>
      <c r="G27" s="164">
        <f>SUM(G2:G25)</f>
        <v>210.31000000000003</v>
      </c>
      <c r="H27" s="165"/>
      <c r="I27" s="164">
        <f>SUM(I2:I25)</f>
        <v>42.5</v>
      </c>
      <c r="J27" s="166">
        <f>SUM(J2:J25)</f>
        <v>8.1199999999999992</v>
      </c>
      <c r="K27" s="155">
        <f>SUMIF(K2:K25,"N",E2:E25)</f>
        <v>29.589999999999996</v>
      </c>
      <c r="L27" s="155">
        <f>SUMIF(L2:L25,"N",F2:F25)</f>
        <v>0</v>
      </c>
      <c r="M27" s="155"/>
    </row>
    <row r="28" spans="1:13">
      <c r="D28"/>
      <c r="E28"/>
      <c r="F28"/>
      <c r="I28"/>
    </row>
    <row r="29" spans="1:13">
      <c r="D29"/>
      <c r="E29"/>
      <c r="F29"/>
      <c r="I29"/>
    </row>
    <row r="30" spans="1:13">
      <c r="D30"/>
      <c r="E30"/>
      <c r="F30"/>
      <c r="I30"/>
    </row>
    <row r="31" spans="1:13">
      <c r="D31"/>
      <c r="E31"/>
      <c r="F31"/>
      <c r="I31"/>
    </row>
    <row r="32" spans="1:13">
      <c r="D32"/>
      <c r="E32"/>
      <c r="F32"/>
      <c r="I32"/>
    </row>
    <row r="33" spans="3:9">
      <c r="D33"/>
      <c r="E33"/>
      <c r="F33"/>
      <c r="I33"/>
    </row>
    <row r="34" spans="3:9">
      <c r="C34"/>
      <c r="D34"/>
      <c r="E34"/>
      <c r="F34"/>
      <c r="I34"/>
    </row>
    <row r="35" spans="3:9">
      <c r="C35"/>
      <c r="D35"/>
      <c r="E35"/>
      <c r="F35"/>
      <c r="I35"/>
    </row>
    <row r="36" spans="3:9">
      <c r="C36"/>
      <c r="D36"/>
      <c r="E36"/>
      <c r="F36"/>
      <c r="I36"/>
    </row>
    <row r="37" spans="3:9">
      <c r="C37"/>
      <c r="D37"/>
      <c r="E37"/>
      <c r="F37"/>
      <c r="I37"/>
    </row>
    <row r="38" spans="3:9">
      <c r="C38"/>
      <c r="D38"/>
      <c r="E38"/>
      <c r="F38"/>
      <c r="I38"/>
    </row>
    <row r="39" spans="3:9">
      <c r="C39"/>
      <c r="D39"/>
      <c r="E39"/>
      <c r="F39"/>
      <c r="I39"/>
    </row>
    <row r="40" spans="3:9">
      <c r="C40"/>
      <c r="D40"/>
      <c r="E40"/>
      <c r="F40"/>
      <c r="I40"/>
    </row>
    <row r="41" spans="3:9">
      <c r="C41"/>
      <c r="D41"/>
      <c r="E41"/>
      <c r="F41"/>
      <c r="I41"/>
    </row>
    <row r="42" spans="3:9">
      <c r="C42"/>
      <c r="D42"/>
      <c r="E42"/>
      <c r="F42"/>
      <c r="I42"/>
    </row>
    <row r="43" spans="3:9">
      <c r="I43"/>
    </row>
    <row r="44" spans="3:9">
      <c r="I44"/>
    </row>
    <row r="45" spans="3:9">
      <c r="I45"/>
    </row>
    <row r="46" spans="3:9">
      <c r="I46"/>
    </row>
    <row r="47" spans="3:9">
      <c r="I47"/>
    </row>
    <row r="48" spans="3:9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conditionalFormatting sqref="F43:F1048576 F1:F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000"/>
  </sheetPr>
  <dimension ref="A1:P149"/>
  <sheetViews>
    <sheetView zoomScale="160" zoomScaleNormal="160" workbookViewId="0">
      <pane ySplit="1" topLeftCell="A112" activePane="bottomLeft" state="frozen"/>
      <selection activeCell="B1" sqref="B1"/>
      <selection pane="bottomLeft" activeCell="M125" sqref="A125:M125"/>
    </sheetView>
  </sheetViews>
  <sheetFormatPr defaultRowHeight="14"/>
  <cols>
    <col min="1" max="1" width="10.08203125" bestFit="1" customWidth="1"/>
    <col min="2" max="2" width="18.5" bestFit="1" customWidth="1"/>
    <col min="3" max="4" width="11" style="128" customWidth="1"/>
    <col min="5" max="5" width="10.08203125" style="128" bestFit="1" customWidth="1"/>
    <col min="6" max="6" width="10.08203125" style="128" customWidth="1"/>
    <col min="7" max="7" width="10.08203125" bestFit="1" customWidth="1"/>
    <col min="8" max="8" width="24.5" bestFit="1" customWidth="1"/>
    <col min="9" max="9" width="16.08203125" style="128" customWidth="1"/>
    <col min="10" max="10" width="13.58203125" customWidth="1"/>
    <col min="11" max="11" width="13" customWidth="1"/>
    <col min="12" max="12" width="10.5" customWidth="1"/>
    <col min="13" max="13" width="15.08203125" customWidth="1"/>
    <col min="14" max="14" width="7.58203125" customWidth="1"/>
    <col min="15" max="15" width="19.5" bestFit="1" customWidth="1"/>
    <col min="16" max="16" width="12.08203125" style="156" customWidth="1"/>
  </cols>
  <sheetData>
    <row r="1" spans="1:16">
      <c r="A1" s="86" t="s">
        <v>213</v>
      </c>
      <c r="B1" s="151" t="s">
        <v>214</v>
      </c>
      <c r="C1" s="146" t="s">
        <v>215</v>
      </c>
      <c r="D1" s="146" t="s">
        <v>216</v>
      </c>
      <c r="E1" s="146" t="s">
        <v>217</v>
      </c>
      <c r="F1" s="146" t="s">
        <v>218</v>
      </c>
      <c r="G1" s="17" t="s">
        <v>18</v>
      </c>
      <c r="H1" s="17" t="s">
        <v>219</v>
      </c>
      <c r="I1" s="146" t="s">
        <v>220</v>
      </c>
      <c r="J1" s="17" t="s">
        <v>221</v>
      </c>
      <c r="K1" s="17" t="s">
        <v>222</v>
      </c>
      <c r="L1" s="161" t="s">
        <v>223</v>
      </c>
      <c r="M1" s="179" t="s">
        <v>224</v>
      </c>
      <c r="O1" s="169" t="s">
        <v>214</v>
      </c>
      <c r="P1" s="169" t="s">
        <v>225</v>
      </c>
    </row>
    <row r="2" spans="1:16">
      <c r="A2" s="154">
        <v>45123</v>
      </c>
      <c r="B2" s="152" t="s">
        <v>226</v>
      </c>
      <c r="C2" s="87">
        <v>25.99</v>
      </c>
      <c r="D2" s="87">
        <v>0.97</v>
      </c>
      <c r="E2" s="87">
        <v>4.6500000000000004</v>
      </c>
      <c r="F2" s="87">
        <f>Table1[[#This Row],[Money In]]-Table1[[#This Row],[Fee]]</f>
        <v>25.02</v>
      </c>
      <c r="G2" s="130">
        <f>C2-E2-Table1[[#This Row],[Fee]]</f>
        <v>20.369999999999997</v>
      </c>
      <c r="H2" s="147" t="s">
        <v>227</v>
      </c>
      <c r="I2" s="87">
        <v>5.99</v>
      </c>
      <c r="J2" s="130">
        <f>Table1[[#This Row],[Postage Quoted]]-Table1[[#This Row],[Postage]]</f>
        <v>1.3399999999999999</v>
      </c>
      <c r="K2" s="86" t="s">
        <v>228</v>
      </c>
      <c r="L2" s="162" t="s">
        <v>228</v>
      </c>
      <c r="O2" s="86" t="s">
        <v>229</v>
      </c>
      <c r="P2" s="168">
        <v>30</v>
      </c>
    </row>
    <row r="3" spans="1:16">
      <c r="A3" s="154">
        <v>45125</v>
      </c>
      <c r="B3" s="152" t="s">
        <v>230</v>
      </c>
      <c r="C3" s="87">
        <v>21.95</v>
      </c>
      <c r="D3" s="87">
        <v>0.86</v>
      </c>
      <c r="E3" s="87">
        <v>2.7</v>
      </c>
      <c r="F3" s="87">
        <f>Table1[[#This Row],[Money In]]-Table1[[#This Row],[Fee]]</f>
        <v>21.09</v>
      </c>
      <c r="G3" s="130">
        <f>C3-E3-Table1[[#This Row],[Fee]]</f>
        <v>18.39</v>
      </c>
      <c r="H3" s="147" t="s">
        <v>227</v>
      </c>
      <c r="I3" s="87">
        <v>3.95</v>
      </c>
      <c r="J3" s="130">
        <f>Table1[[#This Row],[Postage Quoted]]-Table1[[#This Row],[Postage]]</f>
        <v>1.25</v>
      </c>
      <c r="K3" s="86" t="s">
        <v>228</v>
      </c>
      <c r="L3" s="162" t="s">
        <v>228</v>
      </c>
      <c r="O3" s="86" t="s">
        <v>231</v>
      </c>
      <c r="P3" s="168">
        <v>15</v>
      </c>
    </row>
    <row r="4" spans="1:16">
      <c r="A4" s="154">
        <v>45126</v>
      </c>
      <c r="B4" s="152" t="s">
        <v>232</v>
      </c>
      <c r="C4" s="87">
        <v>38.950000000000003</v>
      </c>
      <c r="D4" s="87">
        <v>1.3</v>
      </c>
      <c r="E4" s="87">
        <v>3.45</v>
      </c>
      <c r="F4" s="87">
        <f>Table1[[#This Row],[Money In]]-Table1[[#This Row],[Fee]]</f>
        <v>37.650000000000006</v>
      </c>
      <c r="G4" s="130">
        <f>C4-E4-Table1[[#This Row],[Fee]]</f>
        <v>34.200000000000003</v>
      </c>
      <c r="H4" s="147" t="s">
        <v>227</v>
      </c>
      <c r="I4" s="87">
        <v>3.95</v>
      </c>
      <c r="J4" s="130">
        <f>Table1[[#This Row],[Postage Quoted]]-Table1[[#This Row],[Postage]]</f>
        <v>0.5</v>
      </c>
      <c r="K4" s="86" t="s">
        <v>228</v>
      </c>
      <c r="L4" s="162" t="s">
        <v>228</v>
      </c>
      <c r="O4" s="86" t="s">
        <v>233</v>
      </c>
      <c r="P4" s="168">
        <v>16</v>
      </c>
    </row>
    <row r="5" spans="1:16">
      <c r="A5" s="154">
        <v>45126</v>
      </c>
      <c r="B5" s="152" t="s">
        <v>234</v>
      </c>
      <c r="C5" s="87">
        <v>20</v>
      </c>
      <c r="D5" s="87">
        <v>0.81</v>
      </c>
      <c r="E5" s="87">
        <v>3.45</v>
      </c>
      <c r="F5" s="87">
        <f>Table1[[#This Row],[Money In]]-Table1[[#This Row],[Fee]]</f>
        <v>19.190000000000001</v>
      </c>
      <c r="G5" s="130">
        <f>Table1[[#This Row],[Money In]]-Table1[[#This Row],[Postage]]-Table1[[#This Row],[Fee]]</f>
        <v>15.74</v>
      </c>
      <c r="H5" s="147" t="s">
        <v>227</v>
      </c>
      <c r="I5" s="87">
        <v>4</v>
      </c>
      <c r="J5" s="130">
        <f>Table1[[#This Row],[Postage Quoted]]-Table1[[#This Row],[Postage]]</f>
        <v>0.54999999999999982</v>
      </c>
      <c r="K5" s="86" t="s">
        <v>228</v>
      </c>
      <c r="L5" s="162" t="s">
        <v>228</v>
      </c>
      <c r="O5" s="86" t="s">
        <v>235</v>
      </c>
      <c r="P5" s="168">
        <v>75</v>
      </c>
    </row>
    <row r="6" spans="1:16">
      <c r="A6" s="154">
        <v>45128</v>
      </c>
      <c r="B6" s="152" t="s">
        <v>236</v>
      </c>
      <c r="C6" s="87">
        <v>40</v>
      </c>
      <c r="D6" s="87">
        <v>1.32</v>
      </c>
      <c r="E6" s="87">
        <v>8</v>
      </c>
      <c r="F6" s="87">
        <f>Table1[[#This Row],[Money In]]-Table1[[#This Row],[Fee]]</f>
        <v>38.68</v>
      </c>
      <c r="G6" s="130">
        <f>Table1[[#This Row],[Money In]]-Table1[[#This Row],[Postage]]-Table1[[#This Row],[Fee]]</f>
        <v>30.68</v>
      </c>
      <c r="H6" s="147" t="s">
        <v>227</v>
      </c>
      <c r="I6" s="87">
        <v>8</v>
      </c>
      <c r="J6" s="130">
        <f>Table1[[#This Row],[Postage Quoted]]-Table1[[#This Row],[Postage]]</f>
        <v>0</v>
      </c>
      <c r="K6" s="86" t="s">
        <v>228</v>
      </c>
      <c r="L6" s="162" t="s">
        <v>228</v>
      </c>
      <c r="O6" s="86" t="s">
        <v>237</v>
      </c>
      <c r="P6" s="168">
        <v>15</v>
      </c>
    </row>
    <row r="7" spans="1:16">
      <c r="A7" s="154">
        <v>45128</v>
      </c>
      <c r="B7" s="152" t="s">
        <v>238</v>
      </c>
      <c r="C7" s="87">
        <v>35</v>
      </c>
      <c r="D7" s="87">
        <v>4.78</v>
      </c>
      <c r="E7" s="87">
        <v>2.7</v>
      </c>
      <c r="F7" s="87">
        <f>Table1[[#This Row],[Money In]]-Table1[[#This Row],[Fee]]</f>
        <v>30.22</v>
      </c>
      <c r="G7" s="130">
        <f>Table1[[#This Row],[Money In]]-Table1[[#This Row],[Postage]]-Table1[[#This Row],[Fee]]</f>
        <v>27.519999999999996</v>
      </c>
      <c r="H7" s="147" t="s">
        <v>227</v>
      </c>
      <c r="I7" s="87">
        <v>3</v>
      </c>
      <c r="J7" s="130">
        <f>Table1[[#This Row],[Postage Quoted]]-Table1[[#This Row],[Postage]]</f>
        <v>0.29999999999999982</v>
      </c>
      <c r="K7" s="86" t="s">
        <v>228</v>
      </c>
      <c r="L7" s="162" t="s">
        <v>228</v>
      </c>
      <c r="O7" s="86" t="s">
        <v>239</v>
      </c>
      <c r="P7" s="168">
        <v>20</v>
      </c>
    </row>
    <row r="8" spans="1:16">
      <c r="A8" s="154">
        <v>45128</v>
      </c>
      <c r="B8" s="152" t="s">
        <v>240</v>
      </c>
      <c r="C8" s="87">
        <v>15.95</v>
      </c>
      <c r="D8" s="87">
        <v>0.71</v>
      </c>
      <c r="E8" s="87">
        <v>4.1500000000000004</v>
      </c>
      <c r="F8" s="87">
        <f>Table1[[#This Row],[Money In]]-Table1[[#This Row],[Fee]]</f>
        <v>15.239999999999998</v>
      </c>
      <c r="G8" s="130">
        <f>Table1[[#This Row],[Money In]]-Table1[[#This Row],[Postage]]-Table1[[#This Row],[Fee]]</f>
        <v>11.09</v>
      </c>
      <c r="H8" s="147" t="s">
        <v>227</v>
      </c>
      <c r="I8" s="87">
        <v>5.95</v>
      </c>
      <c r="J8" s="130">
        <f>Table1[[#This Row],[Postage Quoted]]-Table1[[#This Row],[Postage]]</f>
        <v>1.7999999999999998</v>
      </c>
      <c r="K8" s="86" t="s">
        <v>228</v>
      </c>
      <c r="L8" s="162" t="s">
        <v>228</v>
      </c>
      <c r="O8" s="86" t="s">
        <v>241</v>
      </c>
      <c r="P8" s="168">
        <v>20</v>
      </c>
    </row>
    <row r="9" spans="1:16">
      <c r="A9" s="154">
        <v>45129</v>
      </c>
      <c r="B9" s="152" t="s">
        <v>242</v>
      </c>
      <c r="C9" s="87">
        <v>29.5</v>
      </c>
      <c r="D9" s="87">
        <v>1.06</v>
      </c>
      <c r="E9" s="87">
        <v>5.45</v>
      </c>
      <c r="F9" s="87">
        <f>Table1[[#This Row],[Money In]]-Table1[[#This Row],[Fee]]</f>
        <v>28.44</v>
      </c>
      <c r="G9" s="130">
        <f>Table1[[#This Row],[Money In]]-Table1[[#This Row],[Postage]]-Table1[[#This Row],[Fee]]</f>
        <v>22.990000000000002</v>
      </c>
      <c r="H9" s="147" t="s">
        <v>227</v>
      </c>
      <c r="I9" s="87">
        <v>7</v>
      </c>
      <c r="J9" s="130">
        <f>Table1[[#This Row],[Postage Quoted]]-Table1[[#This Row],[Postage]]</f>
        <v>1.5499999999999998</v>
      </c>
      <c r="K9" s="86" t="s">
        <v>228</v>
      </c>
      <c r="L9" s="162" t="s">
        <v>228</v>
      </c>
      <c r="O9" s="86" t="s">
        <v>243</v>
      </c>
      <c r="P9" s="168">
        <v>20</v>
      </c>
    </row>
    <row r="10" spans="1:16">
      <c r="A10" s="154">
        <v>45130</v>
      </c>
      <c r="B10" s="152" t="s">
        <v>244</v>
      </c>
      <c r="C10" s="87">
        <v>17</v>
      </c>
      <c r="D10" s="87">
        <v>0.74</v>
      </c>
      <c r="E10" s="87">
        <v>3.45</v>
      </c>
      <c r="F10" s="87">
        <f>Table1[[#This Row],[Money In]]-Table1[[#This Row],[Fee]]</f>
        <v>16.260000000000002</v>
      </c>
      <c r="G10" s="130">
        <f>Table1[[#This Row],[Money In]]-Table1[[#This Row],[Postage]]-Table1[[#This Row],[Fee]]</f>
        <v>12.81</v>
      </c>
      <c r="H10" s="147" t="s">
        <v>227</v>
      </c>
      <c r="I10" s="87">
        <v>4</v>
      </c>
      <c r="J10" s="130">
        <f>Table1[[#This Row],[Postage Quoted]]-Table1[[#This Row],[Postage]]</f>
        <v>0.54999999999999982</v>
      </c>
      <c r="K10" s="86" t="s">
        <v>228</v>
      </c>
      <c r="L10" s="162" t="s">
        <v>228</v>
      </c>
      <c r="O10" s="86" t="s">
        <v>239</v>
      </c>
      <c r="P10" s="168">
        <v>20</v>
      </c>
    </row>
    <row r="11" spans="1:16">
      <c r="A11" s="154">
        <v>45130</v>
      </c>
      <c r="B11" s="152" t="s">
        <v>245</v>
      </c>
      <c r="C11" s="87">
        <v>14.5</v>
      </c>
      <c r="D11" s="87">
        <v>0.67</v>
      </c>
      <c r="E11" s="87">
        <v>3.45</v>
      </c>
      <c r="F11" s="87">
        <f>Table1[[#This Row],[Money In]]-Table1[[#This Row],[Fee]]</f>
        <v>13.83</v>
      </c>
      <c r="G11" s="130">
        <f>Table1[[#This Row],[Money In]]-Table1[[#This Row],[Postage]]-Table1[[#This Row],[Fee]]</f>
        <v>10.38</v>
      </c>
      <c r="H11" s="147" t="s">
        <v>227</v>
      </c>
      <c r="I11" s="87">
        <v>4</v>
      </c>
      <c r="J11" s="130">
        <f>Table1[[#This Row],[Postage Quoted]]-Table1[[#This Row],[Postage]]</f>
        <v>0.54999999999999982</v>
      </c>
      <c r="K11" s="86" t="s">
        <v>228</v>
      </c>
      <c r="L11" s="162" t="s">
        <v>228</v>
      </c>
      <c r="O11" s="86" t="s">
        <v>246</v>
      </c>
      <c r="P11" s="168">
        <v>20</v>
      </c>
    </row>
    <row r="12" spans="1:16">
      <c r="A12" s="154">
        <v>45130</v>
      </c>
      <c r="B12" s="152" t="s">
        <v>247</v>
      </c>
      <c r="C12" s="87">
        <v>11.45</v>
      </c>
      <c r="D12" s="87">
        <v>0.59</v>
      </c>
      <c r="E12" s="87">
        <v>3.45</v>
      </c>
      <c r="F12" s="87">
        <f>Table1[[#This Row],[Money In]]-Table1[[#This Row],[Fee]]</f>
        <v>10.86</v>
      </c>
      <c r="G12" s="130">
        <f>Table1[[#This Row],[Money In]]-Table1[[#This Row],[Postage]]-Table1[[#This Row],[Fee]]</f>
        <v>7.4099999999999993</v>
      </c>
      <c r="H12" s="147" t="s">
        <v>227</v>
      </c>
      <c r="I12" s="87">
        <v>3.95</v>
      </c>
      <c r="J12" s="130">
        <f>Table1[[#This Row],[Postage Quoted]]-Table1[[#This Row],[Postage]]</f>
        <v>0.5</v>
      </c>
      <c r="K12" s="86" t="s">
        <v>228</v>
      </c>
      <c r="L12" s="162" t="s">
        <v>228</v>
      </c>
      <c r="O12" s="86" t="s">
        <v>248</v>
      </c>
      <c r="P12" s="168">
        <v>10</v>
      </c>
    </row>
    <row r="13" spans="1:16">
      <c r="A13" s="154">
        <v>45130</v>
      </c>
      <c r="B13" s="152" t="s">
        <v>249</v>
      </c>
      <c r="C13" s="87">
        <v>8.9499999999999993</v>
      </c>
      <c r="D13" s="87">
        <v>0.53</v>
      </c>
      <c r="E13" s="87">
        <v>3.45</v>
      </c>
      <c r="F13" s="87">
        <f>Table1[[#This Row],[Money In]]-Table1[[#This Row],[Fee]]</f>
        <v>8.42</v>
      </c>
      <c r="G13" s="130">
        <f>Table1[[#This Row],[Money In]]-Table1[[#This Row],[Postage]]-Table1[[#This Row],[Fee]]</f>
        <v>4.9699999999999989</v>
      </c>
      <c r="H13" s="147" t="s">
        <v>227</v>
      </c>
      <c r="I13" s="87">
        <v>3.95</v>
      </c>
      <c r="J13" s="130">
        <f>Table1[[#This Row],[Postage Quoted]]-Table1[[#This Row],[Postage]]</f>
        <v>0.5</v>
      </c>
      <c r="K13" s="86" t="s">
        <v>228</v>
      </c>
      <c r="L13" s="162" t="s">
        <v>228</v>
      </c>
      <c r="O13" s="86" t="s">
        <v>250</v>
      </c>
      <c r="P13" s="168">
        <v>75</v>
      </c>
    </row>
    <row r="14" spans="1:16">
      <c r="A14" s="154">
        <v>45131</v>
      </c>
      <c r="B14" s="152" t="s">
        <v>251</v>
      </c>
      <c r="C14" s="87">
        <v>23.83</v>
      </c>
      <c r="D14" s="87">
        <v>0.91</v>
      </c>
      <c r="E14" s="87">
        <v>2.7</v>
      </c>
      <c r="F14" s="87">
        <f>Table1[[#This Row],[Money In]]-Table1[[#This Row],[Fee]]</f>
        <v>22.919999999999998</v>
      </c>
      <c r="G14" s="130">
        <f>Table1[[#This Row],[Money In]]-Table1[[#This Row],[Postage]]-Table1[[#This Row],[Fee]]</f>
        <v>20.22</v>
      </c>
      <c r="H14" s="147" t="s">
        <v>227</v>
      </c>
      <c r="I14" s="87">
        <v>3.95</v>
      </c>
      <c r="J14" s="130">
        <f>Table1[[#This Row],[Postage Quoted]]-Table1[[#This Row],[Postage]]</f>
        <v>1.25</v>
      </c>
      <c r="K14" s="86" t="s">
        <v>228</v>
      </c>
      <c r="L14" s="162" t="s">
        <v>228</v>
      </c>
      <c r="O14" s="86" t="s">
        <v>252</v>
      </c>
      <c r="P14" s="168">
        <v>12</v>
      </c>
    </row>
    <row r="15" spans="1:16">
      <c r="A15" s="154">
        <v>45131</v>
      </c>
      <c r="B15" s="152" t="s">
        <v>253</v>
      </c>
      <c r="C15" s="87">
        <v>20.95</v>
      </c>
      <c r="D15" s="87">
        <v>0.84</v>
      </c>
      <c r="E15" s="87">
        <v>3.45</v>
      </c>
      <c r="F15" s="87">
        <f>Table1[[#This Row],[Money In]]-Table1[[#This Row],[Fee]]</f>
        <v>20.11</v>
      </c>
      <c r="G15" s="130">
        <f>Table1[[#This Row],[Money In]]-Table1[[#This Row],[Postage]]-Table1[[#This Row],[Fee]]</f>
        <v>16.66</v>
      </c>
      <c r="H15" s="147" t="s">
        <v>227</v>
      </c>
      <c r="I15" s="87">
        <v>3.95</v>
      </c>
      <c r="J15" s="130">
        <f>Table1[[#This Row],[Postage Quoted]]-Table1[[#This Row],[Postage]]</f>
        <v>0.5</v>
      </c>
      <c r="K15" s="86" t="s">
        <v>228</v>
      </c>
      <c r="L15" s="162" t="s">
        <v>228</v>
      </c>
      <c r="O15" s="86" t="s">
        <v>254</v>
      </c>
      <c r="P15" s="168">
        <v>25</v>
      </c>
    </row>
    <row r="16" spans="1:16">
      <c r="A16" s="154">
        <v>45131</v>
      </c>
      <c r="B16" s="152" t="s">
        <v>255</v>
      </c>
      <c r="C16" s="87">
        <v>18.95</v>
      </c>
      <c r="D16" s="87">
        <v>2.73</v>
      </c>
      <c r="E16" s="87">
        <v>3.45</v>
      </c>
      <c r="F16" s="87">
        <f>Table1[[#This Row],[Money In]]-Table1[[#This Row],[Fee]]</f>
        <v>16.22</v>
      </c>
      <c r="G16" s="130">
        <f>Table1[[#This Row],[Money In]]-Table1[[#This Row],[Postage]]-Table1[[#This Row],[Fee]]</f>
        <v>12.77</v>
      </c>
      <c r="H16" s="147" t="s">
        <v>227</v>
      </c>
      <c r="I16" s="87">
        <v>3.95</v>
      </c>
      <c r="J16" s="130">
        <f>Table1[[#This Row],[Postage Quoted]]-Table1[[#This Row],[Postage]]</f>
        <v>0.5</v>
      </c>
      <c r="K16" s="86" t="s">
        <v>228</v>
      </c>
      <c r="L16" s="162" t="s">
        <v>228</v>
      </c>
      <c r="O16" s="86" t="s">
        <v>256</v>
      </c>
      <c r="P16" s="168">
        <v>15</v>
      </c>
    </row>
    <row r="17" spans="1:16">
      <c r="A17" s="154">
        <v>45131</v>
      </c>
      <c r="B17" s="152" t="s">
        <v>257</v>
      </c>
      <c r="C17" s="87">
        <v>10.45</v>
      </c>
      <c r="D17" s="87">
        <v>0.56999999999999995</v>
      </c>
      <c r="E17" s="87">
        <v>3.45</v>
      </c>
      <c r="F17" s="87">
        <f>Table1[[#This Row],[Money In]]-Table1[[#This Row],[Fee]]</f>
        <v>9.879999999999999</v>
      </c>
      <c r="G17" s="130">
        <f>Table1[[#This Row],[Money In]]-Table1[[#This Row],[Postage]]-Table1[[#This Row],[Fee]]</f>
        <v>6.4299999999999988</v>
      </c>
      <c r="H17" s="147" t="s">
        <v>227</v>
      </c>
      <c r="I17" s="87">
        <v>3.95</v>
      </c>
      <c r="J17" s="130">
        <f>Table1[[#This Row],[Postage Quoted]]-Table1[[#This Row],[Postage]]</f>
        <v>0.5</v>
      </c>
      <c r="K17" s="86" t="s">
        <v>228</v>
      </c>
      <c r="L17" s="162" t="s">
        <v>228</v>
      </c>
      <c r="O17" s="86" t="s">
        <v>258</v>
      </c>
      <c r="P17" s="168">
        <v>20</v>
      </c>
    </row>
    <row r="18" spans="1:16">
      <c r="A18" s="154">
        <v>45131</v>
      </c>
      <c r="B18" s="152" t="s">
        <v>259</v>
      </c>
      <c r="C18" s="87">
        <v>9.9499999999999993</v>
      </c>
      <c r="D18" s="87">
        <v>0.55000000000000004</v>
      </c>
      <c r="E18" s="87">
        <v>3.45</v>
      </c>
      <c r="F18" s="87">
        <f>Table1[[#This Row],[Money In]]-Table1[[#This Row],[Fee]]</f>
        <v>9.3999999999999986</v>
      </c>
      <c r="G18" s="130">
        <f>Table1[[#This Row],[Money In]]-Table1[[#This Row],[Postage]]-Table1[[#This Row],[Fee]]</f>
        <v>5.9499999999999993</v>
      </c>
      <c r="H18" s="147" t="s">
        <v>227</v>
      </c>
      <c r="I18" s="87">
        <v>3.95</v>
      </c>
      <c r="J18" s="130">
        <f>Table1[[#This Row],[Postage Quoted]]-Table1[[#This Row],[Postage]]</f>
        <v>0.5</v>
      </c>
      <c r="K18" s="86" t="s">
        <v>228</v>
      </c>
      <c r="L18" s="162" t="s">
        <v>228</v>
      </c>
      <c r="O18" s="86" t="s">
        <v>260</v>
      </c>
      <c r="P18" s="168">
        <v>17</v>
      </c>
    </row>
    <row r="19" spans="1:16">
      <c r="A19" s="154">
        <v>45131</v>
      </c>
      <c r="B19" s="152" t="s">
        <v>261</v>
      </c>
      <c r="C19" s="87">
        <v>9.9499999999999993</v>
      </c>
      <c r="D19" s="87">
        <v>0.55000000000000004</v>
      </c>
      <c r="E19" s="87">
        <v>3.45</v>
      </c>
      <c r="F19" s="87">
        <f>Table1[[#This Row],[Money In]]-Table1[[#This Row],[Fee]]</f>
        <v>9.3999999999999986</v>
      </c>
      <c r="G19" s="130">
        <f>Table1[[#This Row],[Money In]]-Table1[[#This Row],[Postage]]-Table1[[#This Row],[Fee]]</f>
        <v>5.9499999999999993</v>
      </c>
      <c r="H19" s="147" t="s">
        <v>227</v>
      </c>
      <c r="I19" s="87">
        <v>3.45</v>
      </c>
      <c r="J19" s="130">
        <f>Table1[[#This Row],[Postage Quoted]]-Table1[[#This Row],[Postage]]</f>
        <v>0</v>
      </c>
      <c r="K19" s="86" t="s">
        <v>228</v>
      </c>
      <c r="L19" s="162" t="s">
        <v>228</v>
      </c>
      <c r="O19" s="86" t="s">
        <v>262</v>
      </c>
      <c r="P19" s="168">
        <v>150</v>
      </c>
    </row>
    <row r="20" spans="1:16">
      <c r="A20" s="154">
        <v>45131</v>
      </c>
      <c r="B20" s="152" t="s">
        <v>263</v>
      </c>
      <c r="C20" s="87">
        <v>9.7200000000000006</v>
      </c>
      <c r="D20" s="87">
        <v>0.55000000000000004</v>
      </c>
      <c r="E20" s="87">
        <v>3.45</v>
      </c>
      <c r="F20" s="87">
        <f>Table1[[#This Row],[Money In]]-Table1[[#This Row],[Fee]]</f>
        <v>9.17</v>
      </c>
      <c r="G20" s="130">
        <f>Table1[[#This Row],[Money In]]-Table1[[#This Row],[Postage]]-Table1[[#This Row],[Fee]]</f>
        <v>5.7200000000000006</v>
      </c>
      <c r="H20" s="147" t="s">
        <v>227</v>
      </c>
      <c r="I20" s="87">
        <v>3.45</v>
      </c>
      <c r="J20" s="130">
        <f>Table1[[#This Row],[Postage Quoted]]-Table1[[#This Row],[Postage]]</f>
        <v>0</v>
      </c>
      <c r="K20" s="86" t="s">
        <v>228</v>
      </c>
      <c r="L20" s="162" t="s">
        <v>228</v>
      </c>
      <c r="O20" s="86" t="s">
        <v>262</v>
      </c>
      <c r="P20" s="168">
        <v>150</v>
      </c>
    </row>
    <row r="21" spans="1:16">
      <c r="A21" s="154">
        <v>45131</v>
      </c>
      <c r="B21" s="152" t="s">
        <v>264</v>
      </c>
      <c r="C21" s="87">
        <v>7.97</v>
      </c>
      <c r="D21" s="87">
        <v>0.51</v>
      </c>
      <c r="E21" s="87">
        <v>3.45</v>
      </c>
      <c r="F21" s="87">
        <f>Table1[[#This Row],[Money In]]-Table1[[#This Row],[Fee]]</f>
        <v>7.46</v>
      </c>
      <c r="G21" s="130">
        <f>Table1[[#This Row],[Money In]]-Table1[[#This Row],[Postage]]-Table1[[#This Row],[Fee]]</f>
        <v>4.01</v>
      </c>
      <c r="H21" s="147" t="s">
        <v>227</v>
      </c>
      <c r="I21" s="87">
        <v>5</v>
      </c>
      <c r="J21" s="130">
        <f>Table1[[#This Row],[Postage Quoted]]-Table1[[#This Row],[Postage]]</f>
        <v>1.5499999999999998</v>
      </c>
      <c r="K21" s="86" t="s">
        <v>228</v>
      </c>
      <c r="L21" s="162" t="s">
        <v>228</v>
      </c>
      <c r="O21" s="86" t="s">
        <v>265</v>
      </c>
      <c r="P21" s="168">
        <v>300</v>
      </c>
    </row>
    <row r="22" spans="1:16">
      <c r="A22" s="154">
        <v>45131</v>
      </c>
      <c r="B22" s="152" t="s">
        <v>266</v>
      </c>
      <c r="C22" s="87">
        <v>7.65</v>
      </c>
      <c r="D22" s="87">
        <v>0.5</v>
      </c>
      <c r="E22" s="87">
        <v>3.45</v>
      </c>
      <c r="F22" s="87">
        <f>Table1[[#This Row],[Money In]]-Table1[[#This Row],[Fee]]</f>
        <v>7.15</v>
      </c>
      <c r="G22" s="130">
        <f>Table1[[#This Row],[Money In]]-Table1[[#This Row],[Postage]]-Table1[[#This Row],[Fee]]</f>
        <v>3.7</v>
      </c>
      <c r="H22" s="147" t="s">
        <v>227</v>
      </c>
      <c r="I22" s="87">
        <v>3.45</v>
      </c>
      <c r="J22" s="130">
        <f>Table1[[#This Row],[Postage Quoted]]-Table1[[#This Row],[Postage]]</f>
        <v>0</v>
      </c>
      <c r="K22" s="86" t="s">
        <v>228</v>
      </c>
      <c r="L22" s="162" t="s">
        <v>228</v>
      </c>
      <c r="O22" s="86"/>
      <c r="P22" s="168"/>
    </row>
    <row r="23" spans="1:16">
      <c r="A23" s="154">
        <v>45131</v>
      </c>
      <c r="B23" s="152" t="s">
        <v>267</v>
      </c>
      <c r="C23" s="87">
        <v>5.15</v>
      </c>
      <c r="D23" s="87">
        <v>0.43</v>
      </c>
      <c r="E23" s="87">
        <v>3.45</v>
      </c>
      <c r="F23" s="87">
        <f>Table1[[#This Row],[Money In]]-Table1[[#This Row],[Fee]]</f>
        <v>4.7200000000000006</v>
      </c>
      <c r="G23" s="130">
        <f>Table1[[#This Row],[Money In]]-Table1[[#This Row],[Postage]]-Table1[[#This Row],[Fee]]</f>
        <v>1.2700000000000002</v>
      </c>
      <c r="H23" s="147" t="s">
        <v>227</v>
      </c>
      <c r="I23" s="87">
        <v>3.95</v>
      </c>
      <c r="J23" s="130">
        <f>Table1[[#This Row],[Postage Quoted]]-Table1[[#This Row],[Postage]]</f>
        <v>0.5</v>
      </c>
      <c r="K23" s="86" t="s">
        <v>228</v>
      </c>
      <c r="L23" s="162" t="s">
        <v>228</v>
      </c>
      <c r="O23" s="86"/>
      <c r="P23" s="168"/>
    </row>
    <row r="24" spans="1:16">
      <c r="A24" s="154">
        <v>45133</v>
      </c>
      <c r="B24" s="152" t="s">
        <v>268</v>
      </c>
      <c r="C24" s="87">
        <v>33.950000000000003</v>
      </c>
      <c r="D24" s="87">
        <v>4.6500000000000004</v>
      </c>
      <c r="E24" s="87">
        <v>4.1500000000000004</v>
      </c>
      <c r="F24" s="87">
        <f>Table1[[#This Row],[Money In]]-Table1[[#This Row],[Fee]]</f>
        <v>29.300000000000004</v>
      </c>
      <c r="G24" s="130">
        <f>Table1[[#This Row],[Money In]]-Table1[[#This Row],[Postage]]-Table1[[#This Row],[Fee]]</f>
        <v>25.150000000000006</v>
      </c>
      <c r="H24" s="147" t="s">
        <v>227</v>
      </c>
      <c r="I24" s="87">
        <v>3.95</v>
      </c>
      <c r="J24" s="130">
        <f>Table1[[#This Row],[Postage Quoted]]-Table1[[#This Row],[Postage]]</f>
        <v>-0.20000000000000018</v>
      </c>
      <c r="K24" s="86" t="s">
        <v>228</v>
      </c>
      <c r="L24" s="162" t="s">
        <v>228</v>
      </c>
      <c r="O24" s="86"/>
      <c r="P24" s="168"/>
    </row>
    <row r="25" spans="1:16">
      <c r="A25" s="154">
        <v>45134</v>
      </c>
      <c r="B25" s="152" t="s">
        <v>269</v>
      </c>
      <c r="C25" s="87">
        <v>17.95</v>
      </c>
      <c r="D25" s="87">
        <v>2.6</v>
      </c>
      <c r="E25" s="87">
        <v>3.45</v>
      </c>
      <c r="F25" s="87">
        <f>Table1[[#This Row],[Money In]]-Table1[[#This Row],[Fee]]</f>
        <v>15.35</v>
      </c>
      <c r="G25" s="130">
        <f>Table1[[#This Row],[Money In]]-Table1[[#This Row],[Postage]]-Table1[[#This Row],[Fee]]</f>
        <v>11.9</v>
      </c>
      <c r="H25" s="147" t="s">
        <v>227</v>
      </c>
      <c r="I25" s="87">
        <v>3.45</v>
      </c>
      <c r="J25" s="130">
        <f>Table1[[#This Row],[Postage Quoted]]-Table1[[#This Row],[Postage]]</f>
        <v>0</v>
      </c>
      <c r="K25" s="86" t="s">
        <v>228</v>
      </c>
      <c r="L25" s="162" t="s">
        <v>228</v>
      </c>
      <c r="O25" s="86"/>
      <c r="P25" s="168"/>
    </row>
    <row r="26" spans="1:16" ht="14.5" thickBot="1">
      <c r="A26" s="154">
        <v>45134</v>
      </c>
      <c r="B26" s="152" t="s">
        <v>270</v>
      </c>
      <c r="C26" s="87">
        <v>14.45</v>
      </c>
      <c r="D26" s="87">
        <v>2.15</v>
      </c>
      <c r="E26" s="87">
        <v>3.45</v>
      </c>
      <c r="F26" s="87">
        <f>Table1[[#This Row],[Money In]]-Table1[[#This Row],[Fee]]</f>
        <v>12.299999999999999</v>
      </c>
      <c r="G26" s="130">
        <f>Table1[[#This Row],[Money In]]-Table1[[#This Row],[Postage]]-Table1[[#This Row],[Fee]]</f>
        <v>8.85</v>
      </c>
      <c r="H26" s="147" t="s">
        <v>227</v>
      </c>
      <c r="I26" s="87">
        <v>3.95</v>
      </c>
      <c r="J26" s="130">
        <f>Table1[[#This Row],[Postage Quoted]]-Table1[[#This Row],[Postage]]</f>
        <v>0.5</v>
      </c>
      <c r="K26" s="86" t="s">
        <v>228</v>
      </c>
      <c r="L26" s="162" t="s">
        <v>228</v>
      </c>
      <c r="O26" s="86"/>
      <c r="P26" s="168"/>
    </row>
    <row r="27" spans="1:16" ht="14.5" thickBot="1">
      <c r="A27" s="154">
        <v>45134</v>
      </c>
      <c r="B27" s="152" t="s">
        <v>271</v>
      </c>
      <c r="C27" s="87">
        <v>11.95</v>
      </c>
      <c r="D27" s="87">
        <v>1.83</v>
      </c>
      <c r="E27" s="87">
        <v>2.7</v>
      </c>
      <c r="F27" s="87">
        <f>Table1[[#This Row],[Money In]]-Table1[[#This Row],[Fee]]</f>
        <v>10.119999999999999</v>
      </c>
      <c r="G27" s="130">
        <f>Table1[[#This Row],[Money In]]-Table1[[#This Row],[Postage]]-Table1[[#This Row],[Fee]]</f>
        <v>7.42</v>
      </c>
      <c r="H27" s="147" t="s">
        <v>227</v>
      </c>
      <c r="I27" s="87">
        <v>3.95</v>
      </c>
      <c r="J27" s="130">
        <f>Table1[[#This Row],[Postage Quoted]]-Table1[[#This Row],[Postage]]</f>
        <v>1.25</v>
      </c>
      <c r="K27" s="86" t="s">
        <v>228</v>
      </c>
      <c r="L27" s="162" t="s">
        <v>228</v>
      </c>
      <c r="O27" s="170" t="s">
        <v>18</v>
      </c>
      <c r="P27" s="170">
        <f>SUM(P2:P26)</f>
        <v>1025</v>
      </c>
    </row>
    <row r="28" spans="1:16">
      <c r="A28" s="154">
        <v>45134</v>
      </c>
      <c r="B28" s="152" t="s">
        <v>272</v>
      </c>
      <c r="C28" s="87">
        <v>9.4499999999999993</v>
      </c>
      <c r="D28" s="87">
        <v>1.51</v>
      </c>
      <c r="E28" s="87">
        <v>3.45</v>
      </c>
      <c r="F28" s="87">
        <f>Table1[[#This Row],[Money In]]-Table1[[#This Row],[Fee]]</f>
        <v>7.9399999999999995</v>
      </c>
      <c r="G28" s="130">
        <f>Table1[[#This Row],[Money In]]-Table1[[#This Row],[Postage]]-Table1[[#This Row],[Fee]]</f>
        <v>4.4899999999999993</v>
      </c>
      <c r="H28" s="147" t="s">
        <v>227</v>
      </c>
      <c r="I28" s="87">
        <v>3.95</v>
      </c>
      <c r="J28" s="130">
        <f>Table1[[#This Row],[Postage Quoted]]-Table1[[#This Row],[Postage]]</f>
        <v>0.5</v>
      </c>
      <c r="K28" s="86" t="s">
        <v>228</v>
      </c>
      <c r="L28" s="162" t="s">
        <v>228</v>
      </c>
    </row>
    <row r="29" spans="1:16">
      <c r="A29" s="154">
        <v>45134</v>
      </c>
      <c r="B29" s="152" t="s">
        <v>273</v>
      </c>
      <c r="C29" s="87">
        <v>7.15</v>
      </c>
      <c r="D29" s="87">
        <v>1.22</v>
      </c>
      <c r="E29" s="87">
        <v>3.45</v>
      </c>
      <c r="F29" s="87">
        <f>Table1[[#This Row],[Money In]]-Table1[[#This Row],[Fee]]</f>
        <v>5.9300000000000006</v>
      </c>
      <c r="G29" s="130">
        <f>Table1[[#This Row],[Money In]]-Table1[[#This Row],[Postage]]-Table1[[#This Row],[Fee]]</f>
        <v>2.4800000000000004</v>
      </c>
      <c r="H29" s="147" t="s">
        <v>227</v>
      </c>
      <c r="I29" s="87">
        <v>3.95</v>
      </c>
      <c r="J29" s="130">
        <f>Table1[[#This Row],[Postage Quoted]]-Table1[[#This Row],[Postage]]</f>
        <v>0.5</v>
      </c>
      <c r="K29" s="86" t="s">
        <v>228</v>
      </c>
      <c r="L29" s="162" t="s">
        <v>228</v>
      </c>
    </row>
    <row r="30" spans="1:16">
      <c r="A30" s="154">
        <v>45134</v>
      </c>
      <c r="B30" s="152" t="s">
        <v>266</v>
      </c>
      <c r="C30" s="87">
        <v>4.99</v>
      </c>
      <c r="D30" s="87">
        <v>0.43</v>
      </c>
      <c r="E30" s="87">
        <v>3.45</v>
      </c>
      <c r="F30" s="87">
        <f>Table1[[#This Row],[Money In]]-Table1[[#This Row],[Fee]]</f>
        <v>4.5600000000000005</v>
      </c>
      <c r="G30" s="130">
        <f>Table1[[#This Row],[Money In]]-Table1[[#This Row],[Postage]]-Table1[[#This Row],[Fee]]</f>
        <v>1.1100000000000001</v>
      </c>
      <c r="H30" s="147" t="s">
        <v>227</v>
      </c>
      <c r="I30" s="87">
        <v>4</v>
      </c>
      <c r="J30" s="130">
        <f>Table1[[#This Row],[Postage Quoted]]-Table1[[#This Row],[Postage]]</f>
        <v>0.54999999999999982</v>
      </c>
      <c r="K30" s="86" t="s">
        <v>228</v>
      </c>
      <c r="L30" s="162" t="s">
        <v>228</v>
      </c>
    </row>
    <row r="31" spans="1:16">
      <c r="A31" s="154">
        <v>45134</v>
      </c>
      <c r="B31" s="152" t="s">
        <v>266</v>
      </c>
      <c r="C31" s="87">
        <v>4.4400000000000004</v>
      </c>
      <c r="D31" s="87">
        <v>0.41</v>
      </c>
      <c r="E31" s="87">
        <v>3.45</v>
      </c>
      <c r="F31" s="87">
        <f>Table1[[#This Row],[Money In]]-Table1[[#This Row],[Fee]]</f>
        <v>4.03</v>
      </c>
      <c r="G31" s="130">
        <f>Table1[[#This Row],[Money In]]-Table1[[#This Row],[Postage]]-Table1[[#This Row],[Fee]]</f>
        <v>0.58000000000000029</v>
      </c>
      <c r="H31" s="147" t="s">
        <v>227</v>
      </c>
      <c r="I31" s="87">
        <v>3.45</v>
      </c>
      <c r="J31" s="130">
        <f>Table1[[#This Row],[Postage Quoted]]-Table1[[#This Row],[Postage]]</f>
        <v>0</v>
      </c>
      <c r="K31" s="86" t="s">
        <v>228</v>
      </c>
      <c r="L31" s="162" t="s">
        <v>228</v>
      </c>
    </row>
    <row r="32" spans="1:16">
      <c r="A32" s="154">
        <v>45134</v>
      </c>
      <c r="B32" s="152" t="s">
        <v>273</v>
      </c>
      <c r="C32" s="87">
        <v>4.4400000000000004</v>
      </c>
      <c r="D32" s="87">
        <v>0.87</v>
      </c>
      <c r="E32" s="87">
        <v>3.45</v>
      </c>
      <c r="F32" s="87">
        <f>Table1[[#This Row],[Money In]]-Table1[[#This Row],[Fee]]</f>
        <v>3.5700000000000003</v>
      </c>
      <c r="G32" s="130">
        <f>Table1[[#This Row],[Money In]]-Table1[[#This Row],[Postage]]-Table1[[#This Row],[Fee]]</f>
        <v>0.12000000000000022</v>
      </c>
      <c r="H32" s="147" t="s">
        <v>227</v>
      </c>
      <c r="I32" s="87">
        <v>3.45</v>
      </c>
      <c r="J32" s="130">
        <f>Table1[[#This Row],[Postage Quoted]]-Table1[[#This Row],[Postage]]</f>
        <v>0</v>
      </c>
      <c r="K32" s="86" t="s">
        <v>228</v>
      </c>
      <c r="L32" s="162" t="s">
        <v>228</v>
      </c>
    </row>
    <row r="33" spans="1:12">
      <c r="A33" s="154">
        <v>45135</v>
      </c>
      <c r="B33" s="152" t="s">
        <v>274</v>
      </c>
      <c r="C33" s="87">
        <v>72</v>
      </c>
      <c r="D33" s="87">
        <v>9.52</v>
      </c>
      <c r="E33" s="87">
        <v>4.6500000000000004</v>
      </c>
      <c r="F33" s="87">
        <f>Table1[[#This Row],[Money In]]-Table1[[#This Row],[Fee]]</f>
        <v>62.480000000000004</v>
      </c>
      <c r="G33" s="130">
        <f>Table1[[#This Row],[Money In]]-Table1[[#This Row],[Postage]]-Table1[[#This Row],[Fee]]</f>
        <v>57.83</v>
      </c>
      <c r="H33" s="147" t="s">
        <v>227</v>
      </c>
      <c r="I33" s="87">
        <v>5</v>
      </c>
      <c r="J33" s="130">
        <f>Table1[[#This Row],[Postage Quoted]]-Table1[[#This Row],[Postage]]</f>
        <v>0.34999999999999964</v>
      </c>
      <c r="K33" s="86" t="s">
        <v>228</v>
      </c>
      <c r="L33" s="162" t="s">
        <v>228</v>
      </c>
    </row>
    <row r="34" spans="1:12">
      <c r="A34" s="154">
        <v>45135</v>
      </c>
      <c r="B34" s="152" t="s">
        <v>238</v>
      </c>
      <c r="C34" s="87">
        <v>25</v>
      </c>
      <c r="D34" s="87">
        <v>0.35</v>
      </c>
      <c r="E34" s="87">
        <v>2.7</v>
      </c>
      <c r="F34" s="87">
        <f>Table1[[#This Row],[Money In]]-Table1[[#This Row],[Fee]]</f>
        <v>24.65</v>
      </c>
      <c r="G34" s="130">
        <f>Table1[[#This Row],[Money In]]-Table1[[#This Row],[Postage]]-Table1[[#This Row],[Fee]]</f>
        <v>21.95</v>
      </c>
      <c r="H34" s="147" t="s">
        <v>227</v>
      </c>
      <c r="I34" s="87">
        <v>3</v>
      </c>
      <c r="J34" s="130">
        <f>Table1[[#This Row],[Postage Quoted]]-Table1[[#This Row],[Postage]]</f>
        <v>0.29999999999999982</v>
      </c>
      <c r="K34" s="86" t="s">
        <v>228</v>
      </c>
      <c r="L34" s="162" t="s">
        <v>228</v>
      </c>
    </row>
    <row r="35" spans="1:12">
      <c r="A35" s="154">
        <v>45135</v>
      </c>
      <c r="B35" s="152" t="s">
        <v>275</v>
      </c>
      <c r="C35" s="87">
        <v>25.45</v>
      </c>
      <c r="D35" s="87">
        <v>3.56</v>
      </c>
      <c r="E35" s="87">
        <v>3.45</v>
      </c>
      <c r="F35" s="87">
        <f>Table1[[#This Row],[Money In]]-Table1[[#This Row],[Fee]]</f>
        <v>21.89</v>
      </c>
      <c r="G35" s="130">
        <f>Table1[[#This Row],[Money In]]-Table1[[#This Row],[Postage]]-Table1[[#This Row],[Fee]]</f>
        <v>18.440000000000001</v>
      </c>
      <c r="H35" s="147" t="s">
        <v>227</v>
      </c>
      <c r="I35" s="87">
        <v>3.95</v>
      </c>
      <c r="J35" s="130">
        <f>Table1[[#This Row],[Postage Quoted]]-Table1[[#This Row],[Postage]]</f>
        <v>0.5</v>
      </c>
      <c r="K35" s="86" t="s">
        <v>228</v>
      </c>
      <c r="L35" s="162" t="s">
        <v>228</v>
      </c>
    </row>
    <row r="36" spans="1:12">
      <c r="A36" s="154">
        <v>45135</v>
      </c>
      <c r="B36" s="152" t="s">
        <v>268</v>
      </c>
      <c r="C36" s="87">
        <v>23.95</v>
      </c>
      <c r="D36" s="87">
        <v>3.37</v>
      </c>
      <c r="E36" s="87">
        <v>3.45</v>
      </c>
      <c r="F36" s="87">
        <f>Table1[[#This Row],[Money In]]-Table1[[#This Row],[Fee]]</f>
        <v>20.58</v>
      </c>
      <c r="G36" s="130">
        <f>Table1[[#This Row],[Money In]]-Table1[[#This Row],[Postage]]-Table1[[#This Row],[Fee]]</f>
        <v>17.13</v>
      </c>
      <c r="H36" s="147" t="s">
        <v>227</v>
      </c>
      <c r="I36" s="87">
        <v>3.95</v>
      </c>
      <c r="J36" s="130">
        <f>Table1[[#This Row],[Postage Quoted]]-Table1[[#This Row],[Postage]]</f>
        <v>0.5</v>
      </c>
      <c r="K36" s="86" t="s">
        <v>228</v>
      </c>
      <c r="L36" s="162" t="s">
        <v>228</v>
      </c>
    </row>
    <row r="37" spans="1:12">
      <c r="A37" s="154">
        <v>45135</v>
      </c>
      <c r="B37" s="152" t="s">
        <v>276</v>
      </c>
      <c r="C37" s="87">
        <v>15.43</v>
      </c>
      <c r="D37" s="87">
        <v>2.2799999999999998</v>
      </c>
      <c r="E37" s="87">
        <v>3.45</v>
      </c>
      <c r="F37" s="87">
        <f>Table1[[#This Row],[Money In]]-Table1[[#This Row],[Fee]]</f>
        <v>13.15</v>
      </c>
      <c r="G37" s="130">
        <f>Table1[[#This Row],[Money In]]-Table1[[#This Row],[Postage]]-Table1[[#This Row],[Fee]]</f>
        <v>9.7000000000000011</v>
      </c>
      <c r="H37" s="147" t="s">
        <v>227</v>
      </c>
      <c r="I37" s="87">
        <v>3.93</v>
      </c>
      <c r="J37" s="130">
        <f>Table1[[#This Row],[Postage Quoted]]-Table1[[#This Row],[Postage]]</f>
        <v>0.48</v>
      </c>
      <c r="K37" s="86" t="s">
        <v>228</v>
      </c>
      <c r="L37" s="162" t="s">
        <v>228</v>
      </c>
    </row>
    <row r="38" spans="1:12">
      <c r="A38" s="154">
        <v>45135</v>
      </c>
      <c r="B38" s="152" t="s">
        <v>277</v>
      </c>
      <c r="C38" s="87">
        <v>9.4499999999999993</v>
      </c>
      <c r="D38" s="87">
        <v>1.51</v>
      </c>
      <c r="E38" s="87">
        <v>2.7</v>
      </c>
      <c r="F38" s="87">
        <f>Table1[[#This Row],[Money In]]-Table1[[#This Row],[Fee]]</f>
        <v>7.9399999999999995</v>
      </c>
      <c r="G38" s="130">
        <f>Table1[[#This Row],[Money In]]-Table1[[#This Row],[Postage]]-Table1[[#This Row],[Fee]]</f>
        <v>5.2399999999999993</v>
      </c>
      <c r="H38" s="147" t="s">
        <v>227</v>
      </c>
      <c r="I38" s="87">
        <v>3.95</v>
      </c>
      <c r="J38" s="130">
        <f>Table1[[#This Row],[Postage Quoted]]-Table1[[#This Row],[Postage]]</f>
        <v>1.25</v>
      </c>
      <c r="K38" s="86" t="s">
        <v>228</v>
      </c>
      <c r="L38" s="162" t="s">
        <v>228</v>
      </c>
    </row>
    <row r="39" spans="1:12">
      <c r="A39" s="154">
        <v>45135</v>
      </c>
      <c r="B39" s="152" t="s">
        <v>278</v>
      </c>
      <c r="C39" s="87">
        <v>8.1999999999999993</v>
      </c>
      <c r="D39" s="87">
        <v>1.35</v>
      </c>
      <c r="E39" s="87">
        <v>2.7</v>
      </c>
      <c r="F39" s="87">
        <f>Table1[[#This Row],[Money In]]-Table1[[#This Row],[Fee]]</f>
        <v>6.85</v>
      </c>
      <c r="G39" s="130">
        <f>Table1[[#This Row],[Money In]]-Table1[[#This Row],[Postage]]-Table1[[#This Row],[Fee]]</f>
        <v>4.1499999999999986</v>
      </c>
      <c r="H39" s="147" t="s">
        <v>227</v>
      </c>
      <c r="I39" s="87">
        <v>2.7</v>
      </c>
      <c r="J39" s="130">
        <f>Table1[[#This Row],[Postage Quoted]]-Table1[[#This Row],[Postage]]</f>
        <v>0</v>
      </c>
      <c r="K39" s="86" t="s">
        <v>228</v>
      </c>
      <c r="L39" s="162" t="s">
        <v>228</v>
      </c>
    </row>
    <row r="40" spans="1:12">
      <c r="A40" s="154">
        <v>45135</v>
      </c>
      <c r="B40" s="152" t="s">
        <v>279</v>
      </c>
      <c r="C40" s="87">
        <v>7.15</v>
      </c>
      <c r="D40" s="87">
        <v>1.22</v>
      </c>
      <c r="E40" s="87">
        <v>3.45</v>
      </c>
      <c r="F40" s="87">
        <f>Table1[[#This Row],[Money In]]-Table1[[#This Row],[Fee]]</f>
        <v>5.9300000000000006</v>
      </c>
      <c r="G40" s="130">
        <f>Table1[[#This Row],[Money In]]-Table1[[#This Row],[Postage]]-Table1[[#This Row],[Fee]]</f>
        <v>2.4800000000000004</v>
      </c>
      <c r="H40" s="147" t="s">
        <v>227</v>
      </c>
      <c r="I40" s="87">
        <v>3.95</v>
      </c>
      <c r="J40" s="130">
        <f>Table1[[#This Row],[Postage Quoted]]-Table1[[#This Row],[Postage]]</f>
        <v>0.5</v>
      </c>
      <c r="K40" s="86" t="s">
        <v>228</v>
      </c>
      <c r="L40" s="162" t="s">
        <v>228</v>
      </c>
    </row>
    <row r="41" spans="1:12">
      <c r="A41" s="154">
        <v>45135</v>
      </c>
      <c r="B41" s="152" t="s">
        <v>280</v>
      </c>
      <c r="C41" s="87">
        <v>6.2</v>
      </c>
      <c r="D41" s="87">
        <v>1.0900000000000001</v>
      </c>
      <c r="E41" s="87">
        <v>2.7</v>
      </c>
      <c r="F41" s="87">
        <f>Table1[[#This Row],[Money In]]-Table1[[#This Row],[Fee]]</f>
        <v>5.1100000000000003</v>
      </c>
      <c r="G41" s="130">
        <f>Table1[[#This Row],[Money In]]-Table1[[#This Row],[Postage]]-Table1[[#This Row],[Fee]]</f>
        <v>2.41</v>
      </c>
      <c r="H41" s="147" t="s">
        <v>227</v>
      </c>
      <c r="I41" s="87">
        <v>3</v>
      </c>
      <c r="J41" s="130">
        <f>Table1[[#This Row],[Postage Quoted]]-Table1[[#This Row],[Postage]]</f>
        <v>0.29999999999999982</v>
      </c>
      <c r="K41" s="86" t="s">
        <v>228</v>
      </c>
      <c r="L41" s="162" t="s">
        <v>228</v>
      </c>
    </row>
    <row r="42" spans="1:12">
      <c r="A42" s="154">
        <v>45135</v>
      </c>
      <c r="B42" s="152" t="s">
        <v>281</v>
      </c>
      <c r="C42" s="87">
        <v>6.2</v>
      </c>
      <c r="D42" s="87">
        <v>1.0900000000000001</v>
      </c>
      <c r="E42" s="87">
        <v>3.1</v>
      </c>
      <c r="F42" s="87">
        <f>Table1[[#This Row],[Money In]]-Table1[[#This Row],[Fee]]</f>
        <v>5.1100000000000003</v>
      </c>
      <c r="G42" s="130">
        <f>Table1[[#This Row],[Money In]]-Table1[[#This Row],[Postage]]-Table1[[#This Row],[Fee]]</f>
        <v>2.0099999999999998</v>
      </c>
      <c r="H42" s="147" t="s">
        <v>227</v>
      </c>
      <c r="I42" s="87">
        <v>3</v>
      </c>
      <c r="J42" s="130">
        <f>Table1[[#This Row],[Postage Quoted]]-Table1[[#This Row],[Postage]]</f>
        <v>-0.10000000000000009</v>
      </c>
      <c r="K42" s="86" t="s">
        <v>228</v>
      </c>
      <c r="L42" s="162" t="s">
        <v>228</v>
      </c>
    </row>
    <row r="43" spans="1:12">
      <c r="A43" s="154">
        <v>45135</v>
      </c>
      <c r="B43" s="152" t="s">
        <v>282</v>
      </c>
      <c r="C43" s="87">
        <v>5.9</v>
      </c>
      <c r="D43" s="87">
        <v>1.06</v>
      </c>
      <c r="E43" s="87">
        <v>3.45</v>
      </c>
      <c r="F43" s="87">
        <f>Table1[[#This Row],[Money In]]-Table1[[#This Row],[Fee]]</f>
        <v>4.84</v>
      </c>
      <c r="G43" s="130">
        <f>Table1[[#This Row],[Money In]]-Table1[[#This Row],[Postage]]-Table1[[#This Row],[Fee]]</f>
        <v>1.3900000000000001</v>
      </c>
      <c r="H43" s="147" t="s">
        <v>227</v>
      </c>
      <c r="I43" s="87">
        <v>3.95</v>
      </c>
      <c r="J43" s="130">
        <f>Table1[[#This Row],[Postage Quoted]]-Table1[[#This Row],[Postage]]</f>
        <v>0.5</v>
      </c>
      <c r="K43" s="86" t="s">
        <v>228</v>
      </c>
      <c r="L43" s="162" t="s">
        <v>228</v>
      </c>
    </row>
    <row r="44" spans="1:12">
      <c r="A44" s="154">
        <v>45136</v>
      </c>
      <c r="B44" s="152" t="s">
        <v>268</v>
      </c>
      <c r="C44" s="87">
        <v>13.95</v>
      </c>
      <c r="D44" s="87">
        <v>2.09</v>
      </c>
      <c r="E44" s="87">
        <v>3.45</v>
      </c>
      <c r="F44" s="87">
        <f>Table1[[#This Row],[Money In]]-Table1[[#This Row],[Fee]]</f>
        <v>11.86</v>
      </c>
      <c r="G44" s="130">
        <f>Table1[[#This Row],[Money In]]-Table1[[#This Row],[Postage]]-Table1[[#This Row],[Fee]]</f>
        <v>8.41</v>
      </c>
      <c r="H44" s="147" t="s">
        <v>227</v>
      </c>
      <c r="I44" s="87">
        <v>3.95</v>
      </c>
      <c r="J44" s="130">
        <f>Table1[[#This Row],[Postage Quoted]]-Table1[[#This Row],[Postage]]</f>
        <v>0.5</v>
      </c>
      <c r="K44" s="86" t="s">
        <v>228</v>
      </c>
      <c r="L44" s="162" t="s">
        <v>228</v>
      </c>
    </row>
    <row r="45" spans="1:12">
      <c r="A45" s="154">
        <v>45136</v>
      </c>
      <c r="B45" s="152" t="s">
        <v>283</v>
      </c>
      <c r="C45" s="87">
        <v>10.45</v>
      </c>
      <c r="D45" s="87">
        <v>1.64</v>
      </c>
      <c r="E45" s="87">
        <v>3.45</v>
      </c>
      <c r="F45" s="87">
        <f>Table1[[#This Row],[Money In]]-Table1[[#This Row],[Fee]]</f>
        <v>8.8099999999999987</v>
      </c>
      <c r="G45" s="130">
        <f>Table1[[#This Row],[Money In]]-Table1[[#This Row],[Postage]]-Table1[[#This Row],[Fee]]</f>
        <v>5.3599999999999994</v>
      </c>
      <c r="H45" s="147" t="s">
        <v>227</v>
      </c>
      <c r="I45" s="87">
        <v>4.95</v>
      </c>
      <c r="J45" s="130">
        <f>Table1[[#This Row],[Postage Quoted]]-Table1[[#This Row],[Postage]]</f>
        <v>1.5</v>
      </c>
      <c r="K45" s="86" t="s">
        <v>228</v>
      </c>
      <c r="L45" s="162" t="s">
        <v>228</v>
      </c>
    </row>
    <row r="46" spans="1:12">
      <c r="A46" s="154">
        <v>45136</v>
      </c>
      <c r="B46" s="152" t="s">
        <v>284</v>
      </c>
      <c r="C46" s="87">
        <v>3.99</v>
      </c>
      <c r="D46" s="87">
        <v>0.81</v>
      </c>
      <c r="E46" s="87">
        <v>2.99</v>
      </c>
      <c r="F46" s="87">
        <f>Table1[[#This Row],[Money In]]-Table1[[#This Row],[Fee]]</f>
        <v>3.18</v>
      </c>
      <c r="G46" s="130">
        <f>Table1[[#This Row],[Money In]]-Table1[[#This Row],[Postage]]-Table1[[#This Row],[Fee]]</f>
        <v>0.18999999999999995</v>
      </c>
      <c r="H46" s="147" t="s">
        <v>227</v>
      </c>
      <c r="I46" s="87">
        <v>3</v>
      </c>
      <c r="J46" s="130">
        <f>Table1[[#This Row],[Postage Quoted]]-Table1[[#This Row],[Postage]]</f>
        <v>9.9999999999997868E-3</v>
      </c>
      <c r="K46" s="86" t="s">
        <v>228</v>
      </c>
      <c r="L46" s="162" t="s">
        <v>228</v>
      </c>
    </row>
    <row r="47" spans="1:12">
      <c r="A47" s="154">
        <v>45137</v>
      </c>
      <c r="B47" s="152" t="s">
        <v>285</v>
      </c>
      <c r="C47" s="87">
        <v>12.45</v>
      </c>
      <c r="D47" s="87">
        <v>1.89</v>
      </c>
      <c r="E47" s="87">
        <v>3.45</v>
      </c>
      <c r="F47" s="87">
        <f>Table1[[#This Row],[Money In]]-Table1[[#This Row],[Fee]]</f>
        <v>10.559999999999999</v>
      </c>
      <c r="G47" s="130">
        <f>Table1[[#This Row],[Money In]]-Table1[[#This Row],[Postage]]-Table1[[#This Row],[Fee]]</f>
        <v>7.11</v>
      </c>
      <c r="H47" s="147" t="s">
        <v>227</v>
      </c>
      <c r="I47" s="87">
        <v>3.95</v>
      </c>
      <c r="J47" s="130">
        <f>Table1[[#This Row],[Postage Quoted]]-Table1[[#This Row],[Postage]]</f>
        <v>0.5</v>
      </c>
      <c r="K47" s="86" t="s">
        <v>228</v>
      </c>
      <c r="L47" s="162" t="s">
        <v>228</v>
      </c>
    </row>
    <row r="48" spans="1:12">
      <c r="A48" s="154">
        <v>45137</v>
      </c>
      <c r="B48" s="152" t="s">
        <v>249</v>
      </c>
      <c r="C48" s="87">
        <v>10.5</v>
      </c>
      <c r="D48" s="87">
        <v>1.64</v>
      </c>
      <c r="E48" s="87">
        <v>2.7</v>
      </c>
      <c r="F48" s="87">
        <f>Table1[[#This Row],[Money In]]-Table1[[#This Row],[Fee]]</f>
        <v>8.86</v>
      </c>
      <c r="G48" s="130">
        <f>Table1[[#This Row],[Money In]]-Table1[[#This Row],[Postage]]-Table1[[#This Row],[Fee]]</f>
        <v>6.16</v>
      </c>
      <c r="H48" s="147" t="s">
        <v>227</v>
      </c>
      <c r="I48" s="87">
        <v>3.95</v>
      </c>
      <c r="J48" s="130">
        <f>Table1[[#This Row],[Postage Quoted]]-Table1[[#This Row],[Postage]]</f>
        <v>1.25</v>
      </c>
      <c r="K48" s="86" t="s">
        <v>228</v>
      </c>
      <c r="L48" s="162" t="s">
        <v>228</v>
      </c>
    </row>
    <row r="49" spans="1:12">
      <c r="A49" s="154">
        <v>45137</v>
      </c>
      <c r="B49" s="152" t="s">
        <v>286</v>
      </c>
      <c r="C49" s="87">
        <v>8.9499999999999993</v>
      </c>
      <c r="D49" s="87">
        <v>1.45</v>
      </c>
      <c r="E49" s="87">
        <v>3.45</v>
      </c>
      <c r="F49" s="87">
        <f>Table1[[#This Row],[Money In]]-Table1[[#This Row],[Fee]]</f>
        <v>7.4999999999999991</v>
      </c>
      <c r="G49" s="130">
        <f>Table1[[#This Row],[Money In]]-Table1[[#This Row],[Postage]]-Table1[[#This Row],[Fee]]</f>
        <v>4.0499999999999989</v>
      </c>
      <c r="H49" s="147" t="s">
        <v>227</v>
      </c>
      <c r="I49" s="87">
        <v>3.45</v>
      </c>
      <c r="J49" s="130">
        <f>Table1[[#This Row],[Postage Quoted]]-Table1[[#This Row],[Postage]]</f>
        <v>0</v>
      </c>
      <c r="K49" s="86" t="s">
        <v>228</v>
      </c>
      <c r="L49" s="162" t="s">
        <v>228</v>
      </c>
    </row>
    <row r="50" spans="1:12">
      <c r="A50" s="154">
        <v>45137</v>
      </c>
      <c r="B50" s="152" t="s">
        <v>287</v>
      </c>
      <c r="C50" s="87">
        <v>8.9499999999999993</v>
      </c>
      <c r="D50" s="87">
        <v>1.45</v>
      </c>
      <c r="E50" s="87">
        <v>3.45</v>
      </c>
      <c r="F50" s="87">
        <f>Table1[[#This Row],[Money In]]-Table1[[#This Row],[Fee]]</f>
        <v>7.4999999999999991</v>
      </c>
      <c r="G50" s="130">
        <f>Table1[[#This Row],[Money In]]-Table1[[#This Row],[Postage]]-Table1[[#This Row],[Fee]]</f>
        <v>4.0499999999999989</v>
      </c>
      <c r="H50" s="147" t="s">
        <v>227</v>
      </c>
      <c r="I50" s="87">
        <v>3.45</v>
      </c>
      <c r="J50" s="130">
        <f>Table1[[#This Row],[Postage Quoted]]-Table1[[#This Row],[Postage]]</f>
        <v>0</v>
      </c>
      <c r="K50" s="86" t="s">
        <v>228</v>
      </c>
      <c r="L50" s="162" t="s">
        <v>228</v>
      </c>
    </row>
    <row r="51" spans="1:12">
      <c r="A51" s="154">
        <v>45137</v>
      </c>
      <c r="B51" s="152" t="s">
        <v>288</v>
      </c>
      <c r="C51" s="87">
        <v>8.4499999999999993</v>
      </c>
      <c r="D51" s="87">
        <v>1.38</v>
      </c>
      <c r="E51" s="87">
        <v>3.45</v>
      </c>
      <c r="F51" s="87">
        <f>Table1[[#This Row],[Money In]]-Table1[[#This Row],[Fee]]</f>
        <v>7.0699999999999994</v>
      </c>
      <c r="G51" s="130">
        <f>Table1[[#This Row],[Money In]]-Table1[[#This Row],[Postage]]-Table1[[#This Row],[Fee]]</f>
        <v>3.6199999999999992</v>
      </c>
      <c r="H51" s="147" t="s">
        <v>227</v>
      </c>
      <c r="I51" s="87">
        <v>3.45</v>
      </c>
      <c r="J51" s="130">
        <f>Table1[[#This Row],[Postage Quoted]]-Table1[[#This Row],[Postage]]</f>
        <v>0</v>
      </c>
      <c r="K51" s="86" t="s">
        <v>228</v>
      </c>
      <c r="L51" s="162" t="s">
        <v>228</v>
      </c>
    </row>
    <row r="52" spans="1:12">
      <c r="A52" s="154">
        <v>45137</v>
      </c>
      <c r="B52" s="152" t="s">
        <v>289</v>
      </c>
      <c r="C52" s="87">
        <v>7.65</v>
      </c>
      <c r="D52" s="87">
        <v>1.28</v>
      </c>
      <c r="E52" s="87">
        <v>3.45</v>
      </c>
      <c r="F52" s="87">
        <f>Table1[[#This Row],[Money In]]-Table1[[#This Row],[Fee]]</f>
        <v>6.37</v>
      </c>
      <c r="G52" s="130">
        <f>Table1[[#This Row],[Money In]]-Table1[[#This Row],[Postage]]-Table1[[#This Row],[Fee]]</f>
        <v>2.92</v>
      </c>
      <c r="H52" s="147" t="s">
        <v>227</v>
      </c>
      <c r="I52" s="87">
        <v>3.45</v>
      </c>
      <c r="J52" s="130">
        <f>Table1[[#This Row],[Postage Quoted]]-Table1[[#This Row],[Postage]]</f>
        <v>0</v>
      </c>
      <c r="K52" s="86" t="s">
        <v>228</v>
      </c>
      <c r="L52" s="162" t="s">
        <v>228</v>
      </c>
    </row>
    <row r="53" spans="1:12">
      <c r="A53" s="154">
        <v>45137</v>
      </c>
      <c r="B53" s="152" t="s">
        <v>290</v>
      </c>
      <c r="C53" s="87">
        <v>4.9400000000000004</v>
      </c>
      <c r="D53" s="87">
        <v>0.93</v>
      </c>
      <c r="E53" s="87">
        <v>3.95</v>
      </c>
      <c r="F53" s="87">
        <f>Table1[[#This Row],[Money In]]-Table1[[#This Row],[Fee]]</f>
        <v>4.0100000000000007</v>
      </c>
      <c r="G53" s="130">
        <f>Table1[[#This Row],[Money In]]-Table1[[#This Row],[Postage]]-Table1[[#This Row],[Fee]]</f>
        <v>6.0000000000000164E-2</v>
      </c>
      <c r="H53" s="147" t="s">
        <v>227</v>
      </c>
      <c r="I53" s="87">
        <v>3.95</v>
      </c>
      <c r="J53" s="130">
        <f>Table1[[#This Row],[Postage Quoted]]-Table1[[#This Row],[Postage]]</f>
        <v>0</v>
      </c>
      <c r="K53" s="86" t="s">
        <v>228</v>
      </c>
      <c r="L53" s="162" t="s">
        <v>228</v>
      </c>
    </row>
    <row r="54" spans="1:12">
      <c r="A54" s="154">
        <v>45137</v>
      </c>
      <c r="B54" s="152" t="s">
        <v>291</v>
      </c>
      <c r="C54" s="87">
        <v>-0.43</v>
      </c>
      <c r="D54" s="87">
        <v>0</v>
      </c>
      <c r="E54" s="87">
        <v>2.99</v>
      </c>
      <c r="F54" s="87">
        <f>Table1[[#This Row],[Money In]]-Table1[[#This Row],[Fee]]</f>
        <v>-0.43</v>
      </c>
      <c r="G54" s="130">
        <f>Table1[[#This Row],[Money In]]-Table1[[#This Row],[Postage]]-Table1[[#This Row],[Fee]]</f>
        <v>-3.4200000000000004</v>
      </c>
      <c r="H54" s="147" t="s">
        <v>227</v>
      </c>
      <c r="I54" s="87">
        <v>0</v>
      </c>
      <c r="J54" s="130">
        <f>Table1[[#This Row],[Postage Quoted]]-Table1[[#This Row],[Postage]]</f>
        <v>-2.99</v>
      </c>
      <c r="K54" s="86" t="s">
        <v>228</v>
      </c>
      <c r="L54" s="162" t="s">
        <v>228</v>
      </c>
    </row>
    <row r="55" spans="1:12">
      <c r="A55" s="154">
        <v>45138</v>
      </c>
      <c r="B55" s="152" t="s">
        <v>292</v>
      </c>
      <c r="C55" s="87">
        <v>33.450000000000003</v>
      </c>
      <c r="D55" s="87">
        <v>1.1599999999999999</v>
      </c>
      <c r="E55" s="87">
        <v>2.7</v>
      </c>
      <c r="F55" s="87">
        <f>Table1[[#This Row],[Money In]]-Table1[[#This Row],[Fee]]</f>
        <v>32.290000000000006</v>
      </c>
      <c r="G55" s="130">
        <f>Table1[[#This Row],[Money In]]-Table1[[#This Row],[Postage]]-Table1[[#This Row],[Fee]]</f>
        <v>29.590000000000003</v>
      </c>
      <c r="H55" s="147" t="s">
        <v>227</v>
      </c>
      <c r="I55" s="87">
        <v>3.45</v>
      </c>
      <c r="J55" s="130">
        <f>Table1[[#This Row],[Postage Quoted]]-Table1[[#This Row],[Postage]]</f>
        <v>0.75</v>
      </c>
      <c r="K55" s="86" t="s">
        <v>228</v>
      </c>
      <c r="L55" s="162" t="s">
        <v>228</v>
      </c>
    </row>
    <row r="56" spans="1:12">
      <c r="A56" s="154">
        <v>45138</v>
      </c>
      <c r="B56" s="152" t="s">
        <v>293</v>
      </c>
      <c r="C56" s="87">
        <v>30</v>
      </c>
      <c r="D56" s="87">
        <v>4.1399999999999997</v>
      </c>
      <c r="E56" s="87">
        <v>6.77</v>
      </c>
      <c r="F56" s="87">
        <f>Table1[[#This Row],[Money In]]-Table1[[#This Row],[Fee]]</f>
        <v>25.86</v>
      </c>
      <c r="G56" s="130">
        <f>Table1[[#This Row],[Money In]]-Table1[[#This Row],[Postage]]-Table1[[#This Row],[Fee]]</f>
        <v>19.09</v>
      </c>
      <c r="H56" s="147" t="s">
        <v>227</v>
      </c>
      <c r="I56" s="87">
        <v>8</v>
      </c>
      <c r="J56" s="130">
        <f>Table1[[#This Row],[Postage Quoted]]-Table1[[#This Row],[Postage]]</f>
        <v>1.2300000000000004</v>
      </c>
      <c r="K56" s="86" t="s">
        <v>228</v>
      </c>
      <c r="L56" s="162" t="s">
        <v>228</v>
      </c>
    </row>
    <row r="57" spans="1:12">
      <c r="A57" s="154">
        <v>45138</v>
      </c>
      <c r="B57" s="152" t="s">
        <v>294</v>
      </c>
      <c r="C57" s="87">
        <v>7.2</v>
      </c>
      <c r="D57" s="87">
        <v>1.22</v>
      </c>
      <c r="E57" s="87">
        <v>3.45</v>
      </c>
      <c r="F57" s="87">
        <f>Table1[[#This Row],[Money In]]-Table1[[#This Row],[Fee]]</f>
        <v>5.98</v>
      </c>
      <c r="G57" s="130">
        <f>Table1[[#This Row],[Money In]]-Table1[[#This Row],[Postage]]-Table1[[#This Row],[Fee]]</f>
        <v>2.5300000000000002</v>
      </c>
      <c r="H57" s="147" t="s">
        <v>227</v>
      </c>
      <c r="I57" s="87">
        <v>3.95</v>
      </c>
      <c r="J57" s="130">
        <f>Table1[[#This Row],[Postage Quoted]]-Table1[[#This Row],[Postage]]</f>
        <v>0.5</v>
      </c>
      <c r="K57" s="86" t="s">
        <v>228</v>
      </c>
      <c r="L57" s="162" t="s">
        <v>228</v>
      </c>
    </row>
    <row r="58" spans="1:12">
      <c r="A58" s="154">
        <v>45138</v>
      </c>
      <c r="B58" s="152" t="s">
        <v>266</v>
      </c>
      <c r="C58" s="87">
        <v>5.2</v>
      </c>
      <c r="D58" s="87">
        <v>0.97</v>
      </c>
      <c r="E58" s="87">
        <v>3.45</v>
      </c>
      <c r="F58" s="87">
        <f>Table1[[#This Row],[Money In]]-Table1[[#This Row],[Fee]]</f>
        <v>4.2300000000000004</v>
      </c>
      <c r="G58" s="130">
        <f>Table1[[#This Row],[Money In]]-Table1[[#This Row],[Postage]]-Table1[[#This Row],[Fee]]</f>
        <v>0.78</v>
      </c>
      <c r="H58" s="147" t="s">
        <v>227</v>
      </c>
      <c r="I58" s="87">
        <v>4</v>
      </c>
      <c r="J58" s="130">
        <f>Table1[[#This Row],[Postage Quoted]]-Table1[[#This Row],[Postage]]</f>
        <v>0.54999999999999982</v>
      </c>
      <c r="K58" s="86" t="s">
        <v>228</v>
      </c>
      <c r="L58" s="162" t="s">
        <v>228</v>
      </c>
    </row>
    <row r="59" spans="1:12">
      <c r="A59" s="154">
        <v>45138</v>
      </c>
      <c r="B59" s="152" t="s">
        <v>295</v>
      </c>
      <c r="C59" s="87">
        <v>4.6500000000000004</v>
      </c>
      <c r="D59" s="87">
        <v>0.9</v>
      </c>
      <c r="E59" s="87">
        <v>3.45</v>
      </c>
      <c r="F59" s="87">
        <f>Table1[[#This Row],[Money In]]-Table1[[#This Row],[Fee]]</f>
        <v>3.7500000000000004</v>
      </c>
      <c r="G59" s="130">
        <f>Table1[[#This Row],[Money In]]-Table1[[#This Row],[Postage]]-Table1[[#This Row],[Fee]]</f>
        <v>0.30000000000000016</v>
      </c>
      <c r="H59" s="147" t="s">
        <v>227</v>
      </c>
      <c r="I59" s="87">
        <v>3.45</v>
      </c>
      <c r="J59" s="130">
        <f>Table1[[#This Row],[Postage Quoted]]-Table1[[#This Row],[Postage]]</f>
        <v>0</v>
      </c>
      <c r="K59" s="86" t="s">
        <v>228</v>
      </c>
      <c r="L59" s="162" t="s">
        <v>228</v>
      </c>
    </row>
    <row r="60" spans="1:12">
      <c r="A60" s="154">
        <v>45139</v>
      </c>
      <c r="B60" s="152" t="s">
        <v>296</v>
      </c>
      <c r="C60" s="87">
        <v>61.56</v>
      </c>
      <c r="D60" s="87">
        <v>8.18</v>
      </c>
      <c r="E60" s="87">
        <v>5.15</v>
      </c>
      <c r="F60" s="87">
        <f>Table1[[#This Row],[Money In]]-Table1[[#This Row],[Fee]]</f>
        <v>53.38</v>
      </c>
      <c r="G60" s="130">
        <f>Table1[[#This Row],[Money In]]-Table1[[#This Row],[Postage]]-Table1[[#This Row],[Fee]]</f>
        <v>48.230000000000004</v>
      </c>
      <c r="H60" s="147" t="s">
        <v>227</v>
      </c>
      <c r="I60" s="87">
        <v>5.95</v>
      </c>
      <c r="J60" s="130">
        <f>Table1[[#This Row],[Postage Quoted]]-Table1[[#This Row],[Postage]]</f>
        <v>0.79999999999999982</v>
      </c>
      <c r="K60" s="86" t="s">
        <v>228</v>
      </c>
      <c r="L60" s="162" t="s">
        <v>228</v>
      </c>
    </row>
    <row r="61" spans="1:12">
      <c r="A61" s="154">
        <v>45139</v>
      </c>
      <c r="B61" s="152" t="s">
        <v>297</v>
      </c>
      <c r="C61" s="87">
        <v>16.45</v>
      </c>
      <c r="D61" s="87">
        <v>2.41</v>
      </c>
      <c r="E61" s="87">
        <v>3.45</v>
      </c>
      <c r="F61" s="87">
        <f>Table1[[#This Row],[Money In]]-Table1[[#This Row],[Fee]]</f>
        <v>14.04</v>
      </c>
      <c r="G61" s="130">
        <f>Table1[[#This Row],[Money In]]-Table1[[#This Row],[Postage]]-Table1[[#This Row],[Fee]]</f>
        <v>10.59</v>
      </c>
      <c r="H61" s="147" t="s">
        <v>227</v>
      </c>
      <c r="I61" s="87">
        <v>5.95</v>
      </c>
      <c r="J61" s="130">
        <f>Table1[[#This Row],[Postage Quoted]]-Table1[[#This Row],[Postage]]</f>
        <v>2.5</v>
      </c>
      <c r="K61" s="86" t="s">
        <v>228</v>
      </c>
      <c r="L61" s="162" t="s">
        <v>228</v>
      </c>
    </row>
    <row r="62" spans="1:12">
      <c r="A62" s="154">
        <v>45141</v>
      </c>
      <c r="B62" s="152" t="s">
        <v>298</v>
      </c>
      <c r="C62" s="87">
        <v>29.5</v>
      </c>
      <c r="D62" s="87">
        <v>4.08</v>
      </c>
      <c r="E62" s="87">
        <v>3.45</v>
      </c>
      <c r="F62" s="87">
        <f>Table1[[#This Row],[Money In]]-Table1[[#This Row],[Fee]]</f>
        <v>25.42</v>
      </c>
      <c r="G62" s="130">
        <f>Table1[[#This Row],[Money In]]-Table1[[#This Row],[Postage]]-Table1[[#This Row],[Fee]]</f>
        <v>21.97</v>
      </c>
      <c r="H62" s="150" t="s">
        <v>227</v>
      </c>
      <c r="I62" s="87">
        <v>4.5</v>
      </c>
      <c r="J62" s="130">
        <f>Table1[[#This Row],[Postage Quoted]]-Table1[[#This Row],[Postage]]</f>
        <v>1.0499999999999998</v>
      </c>
      <c r="K62" s="86" t="s">
        <v>228</v>
      </c>
      <c r="L62" s="162" t="s">
        <v>228</v>
      </c>
    </row>
    <row r="63" spans="1:12">
      <c r="A63" s="154">
        <v>45141</v>
      </c>
      <c r="B63" s="152" t="s">
        <v>299</v>
      </c>
      <c r="C63" s="87">
        <v>25.95</v>
      </c>
      <c r="D63" s="87">
        <v>0.96</v>
      </c>
      <c r="E63" s="87">
        <v>3.45</v>
      </c>
      <c r="F63" s="87">
        <f>Table1[[#This Row],[Money In]]-Table1[[#This Row],[Fee]]</f>
        <v>24.99</v>
      </c>
      <c r="G63" s="130">
        <f>Table1[[#This Row],[Money In]]-Table1[[#This Row],[Postage]]-Table1[[#This Row],[Fee]]</f>
        <v>21.54</v>
      </c>
      <c r="H63" s="150" t="s">
        <v>227</v>
      </c>
      <c r="I63" s="87">
        <v>5.95</v>
      </c>
      <c r="J63" s="130">
        <f>Table1[[#This Row],[Postage Quoted]]-Table1[[#This Row],[Postage]]</f>
        <v>2.5</v>
      </c>
      <c r="K63" s="86" t="s">
        <v>228</v>
      </c>
      <c r="L63" s="162" t="s">
        <v>228</v>
      </c>
    </row>
    <row r="64" spans="1:12">
      <c r="A64" s="154">
        <v>45141</v>
      </c>
      <c r="B64" s="152" t="s">
        <v>300</v>
      </c>
      <c r="C64" s="87">
        <v>5.15</v>
      </c>
      <c r="D64" s="87">
        <v>0.96</v>
      </c>
      <c r="E64" s="87">
        <v>2.7</v>
      </c>
      <c r="F64" s="87">
        <f>Table1[[#This Row],[Money In]]-Table1[[#This Row],[Fee]]</f>
        <v>4.1900000000000004</v>
      </c>
      <c r="G64" s="130">
        <f>Table1[[#This Row],[Money In]]-Table1[[#This Row],[Postage]]-Table1[[#This Row],[Fee]]</f>
        <v>1.4900000000000002</v>
      </c>
      <c r="H64" s="150" t="s">
        <v>227</v>
      </c>
      <c r="I64" s="87">
        <v>3.95</v>
      </c>
      <c r="J64" s="130">
        <f>Table1[[#This Row],[Postage Quoted]]-Table1[[#This Row],[Postage]]</f>
        <v>1.25</v>
      </c>
      <c r="K64" s="86" t="s">
        <v>228</v>
      </c>
      <c r="L64" s="162" t="s">
        <v>228</v>
      </c>
    </row>
    <row r="65" spans="1:12">
      <c r="A65" s="154">
        <v>45142</v>
      </c>
      <c r="B65" s="152" t="s">
        <v>301</v>
      </c>
      <c r="C65" s="87">
        <v>67.900000000000006</v>
      </c>
      <c r="D65" s="87">
        <v>2.04</v>
      </c>
      <c r="E65" s="87">
        <v>5.15</v>
      </c>
      <c r="F65" s="87">
        <f>Table1[[#This Row],[Money In]]-Table1[[#This Row],[Fee]]</f>
        <v>65.86</v>
      </c>
      <c r="G65" s="130">
        <f>Table1[[#This Row],[Money In]]-Table1[[#This Row],[Postage]]-Table1[[#This Row],[Fee]]</f>
        <v>60.710000000000008</v>
      </c>
      <c r="H65" s="150" t="s">
        <v>227</v>
      </c>
      <c r="I65" s="87">
        <v>8</v>
      </c>
      <c r="J65" s="130">
        <f>Table1[[#This Row],[Postage Quoted]]-Table1[[#This Row],[Postage]]</f>
        <v>2.8499999999999996</v>
      </c>
      <c r="K65" s="86" t="s">
        <v>228</v>
      </c>
      <c r="L65" s="162" t="s">
        <v>228</v>
      </c>
    </row>
    <row r="66" spans="1:12">
      <c r="A66" s="154">
        <v>45142</v>
      </c>
      <c r="B66" s="152" t="s">
        <v>302</v>
      </c>
      <c r="C66" s="87">
        <v>52.69</v>
      </c>
      <c r="D66" s="87">
        <v>1.69</v>
      </c>
      <c r="E66" s="87">
        <v>6.9</v>
      </c>
      <c r="F66" s="87">
        <f>Table1[[#This Row],[Money In]]-Table1[[#This Row],[Fee]]</f>
        <v>51</v>
      </c>
      <c r="G66" s="130">
        <f>Table1[[#This Row],[Money In]]-Table1[[#This Row],[Postage]]-Table1[[#This Row],[Fee]]</f>
        <v>44.1</v>
      </c>
      <c r="H66" s="150" t="s">
        <v>227</v>
      </c>
      <c r="I66" s="87">
        <v>8.6999999999999993</v>
      </c>
      <c r="J66" s="130">
        <f>Table1[[#This Row],[Postage Quoted]]-Table1[[#This Row],[Postage]]</f>
        <v>1.7999999999999989</v>
      </c>
      <c r="K66" s="86" t="s">
        <v>228</v>
      </c>
      <c r="L66" s="162" t="s">
        <v>228</v>
      </c>
    </row>
    <row r="67" spans="1:12">
      <c r="A67" s="154">
        <v>45142</v>
      </c>
      <c r="B67" s="152" t="s">
        <v>303</v>
      </c>
      <c r="C67" s="87">
        <v>52</v>
      </c>
      <c r="D67" s="87">
        <v>1.63</v>
      </c>
      <c r="E67" s="87">
        <v>7.57</v>
      </c>
      <c r="F67" s="87">
        <f>Table1[[#This Row],[Money In]]-Table1[[#This Row],[Fee]]</f>
        <v>50.37</v>
      </c>
      <c r="G67" s="130">
        <f>Table1[[#This Row],[Money In]]-Table1[[#This Row],[Postage]]-Table1[[#This Row],[Fee]]</f>
        <v>42.8</v>
      </c>
      <c r="H67" s="150" t="s">
        <v>227</v>
      </c>
      <c r="I67" s="87">
        <v>8</v>
      </c>
      <c r="J67" s="130">
        <f>Table1[[#This Row],[Postage Quoted]]-Table1[[#This Row],[Postage]]</f>
        <v>0.42999999999999972</v>
      </c>
      <c r="K67" s="86" t="s">
        <v>228</v>
      </c>
      <c r="L67" s="162" t="s">
        <v>228</v>
      </c>
    </row>
    <row r="68" spans="1:12">
      <c r="A68" s="154">
        <v>45142</v>
      </c>
      <c r="B68" s="152" t="s">
        <v>304</v>
      </c>
      <c r="C68" s="87">
        <v>27.4</v>
      </c>
      <c r="D68" s="87">
        <v>1</v>
      </c>
      <c r="E68" s="87">
        <v>3.45</v>
      </c>
      <c r="F68" s="87">
        <f>Table1[[#This Row],[Money In]]-Table1[[#This Row],[Fee]]</f>
        <v>26.4</v>
      </c>
      <c r="G68" s="130">
        <f>Table1[[#This Row],[Money In]]-Table1[[#This Row],[Postage]]-Table1[[#This Row],[Fee]]</f>
        <v>22.95</v>
      </c>
      <c r="H68" s="150" t="s">
        <v>227</v>
      </c>
      <c r="I68" s="87">
        <v>4.95</v>
      </c>
      <c r="J68" s="130">
        <f>Table1[[#This Row],[Postage Quoted]]-Table1[[#This Row],[Postage]]</f>
        <v>1.5</v>
      </c>
      <c r="K68" s="86" t="s">
        <v>228</v>
      </c>
      <c r="L68" s="162" t="s">
        <v>228</v>
      </c>
    </row>
    <row r="69" spans="1:12">
      <c r="A69" s="154">
        <v>45142</v>
      </c>
      <c r="B69" s="152" t="s">
        <v>305</v>
      </c>
      <c r="C69" s="87">
        <v>24.07</v>
      </c>
      <c r="D69" s="87">
        <v>3.88</v>
      </c>
      <c r="E69" s="87">
        <v>3.45</v>
      </c>
      <c r="F69" s="87">
        <f>Table1[[#This Row],[Money In]]-Table1[[#This Row],[Fee]]</f>
        <v>20.190000000000001</v>
      </c>
      <c r="G69" s="130">
        <f>Table1[[#This Row],[Money In]]-Table1[[#This Row],[Postage]]-Table1[[#This Row],[Fee]]</f>
        <v>16.740000000000002</v>
      </c>
      <c r="H69" s="150" t="s">
        <v>227</v>
      </c>
      <c r="I69" s="87">
        <v>3.95</v>
      </c>
      <c r="J69" s="130">
        <f>Table1[[#This Row],[Postage Quoted]]-Table1[[#This Row],[Postage]]</f>
        <v>0.5</v>
      </c>
      <c r="K69" s="86" t="s">
        <v>228</v>
      </c>
      <c r="L69" s="162" t="s">
        <v>228</v>
      </c>
    </row>
    <row r="70" spans="1:12">
      <c r="A70" s="154">
        <v>45142</v>
      </c>
      <c r="B70" s="152" t="s">
        <v>306</v>
      </c>
      <c r="C70" s="87">
        <v>14.22</v>
      </c>
      <c r="D70" s="87">
        <v>0.68</v>
      </c>
      <c r="E70" s="87">
        <v>3.45</v>
      </c>
      <c r="F70" s="87">
        <f>Table1[[#This Row],[Money In]]-Table1[[#This Row],[Fee]]</f>
        <v>13.540000000000001</v>
      </c>
      <c r="G70" s="130">
        <f>Table1[[#This Row],[Money In]]-Table1[[#This Row],[Postage]]-Table1[[#This Row],[Fee]]</f>
        <v>10.09</v>
      </c>
      <c r="H70" s="150" t="s">
        <v>227</v>
      </c>
      <c r="I70" s="87">
        <v>4.95</v>
      </c>
      <c r="J70" s="130">
        <f>Table1[[#This Row],[Postage Quoted]]-Table1[[#This Row],[Postage]]</f>
        <v>1.5</v>
      </c>
      <c r="K70" s="86" t="s">
        <v>228</v>
      </c>
      <c r="L70" s="162" t="s">
        <v>228</v>
      </c>
    </row>
    <row r="71" spans="1:12">
      <c r="A71" s="154">
        <v>45143</v>
      </c>
      <c r="B71" s="152" t="s">
        <v>307</v>
      </c>
      <c r="C71" s="87">
        <v>68</v>
      </c>
      <c r="D71" s="87">
        <v>2.04</v>
      </c>
      <c r="E71" s="87">
        <v>6.77</v>
      </c>
      <c r="F71" s="87">
        <f>Table1[[#This Row],[Money In]]-Table1[[#This Row],[Fee]]</f>
        <v>65.959999999999994</v>
      </c>
      <c r="G71" s="130">
        <f>Table1[[#This Row],[Money In]]-Table1[[#This Row],[Postage]]-Table1[[#This Row],[Fee]]</f>
        <v>59.190000000000005</v>
      </c>
      <c r="H71" s="150" t="s">
        <v>227</v>
      </c>
      <c r="I71" s="87">
        <v>6</v>
      </c>
      <c r="J71" s="130">
        <f>Table1[[#This Row],[Postage Quoted]]-Table1[[#This Row],[Postage]]</f>
        <v>-0.76999999999999957</v>
      </c>
      <c r="K71" s="86" t="s">
        <v>228</v>
      </c>
      <c r="L71" s="162" t="s">
        <v>228</v>
      </c>
    </row>
    <row r="72" spans="1:12">
      <c r="A72" s="154">
        <v>45143</v>
      </c>
      <c r="B72" s="152" t="s">
        <v>308</v>
      </c>
      <c r="C72" s="87">
        <v>24.95</v>
      </c>
      <c r="D72" s="87">
        <v>0.94</v>
      </c>
      <c r="E72" s="87">
        <v>3.45</v>
      </c>
      <c r="F72" s="87">
        <f>Table1[[#This Row],[Money In]]-Table1[[#This Row],[Fee]]</f>
        <v>24.009999999999998</v>
      </c>
      <c r="G72" s="130">
        <f>Table1[[#This Row],[Money In]]-Table1[[#This Row],[Postage]]-Table1[[#This Row],[Fee]]</f>
        <v>20.56</v>
      </c>
      <c r="H72" s="150" t="s">
        <v>227</v>
      </c>
      <c r="I72" s="87">
        <v>3.95</v>
      </c>
      <c r="J72" s="130">
        <f>Table1[[#This Row],[Postage Quoted]]-Table1[[#This Row],[Postage]]</f>
        <v>0.5</v>
      </c>
      <c r="K72" s="86" t="s">
        <v>228</v>
      </c>
      <c r="L72" s="162" t="s">
        <v>228</v>
      </c>
    </row>
    <row r="73" spans="1:12">
      <c r="A73" s="154">
        <v>45143</v>
      </c>
      <c r="B73" s="152" t="s">
        <v>309</v>
      </c>
      <c r="C73" s="87">
        <v>23.95</v>
      </c>
      <c r="D73" s="87">
        <v>0.91</v>
      </c>
      <c r="E73" s="87">
        <v>3.45</v>
      </c>
      <c r="F73" s="87">
        <f>Table1[[#This Row],[Money In]]-Table1[[#This Row],[Fee]]</f>
        <v>23.04</v>
      </c>
      <c r="G73" s="130">
        <f>Table1[[#This Row],[Money In]]-Table1[[#This Row],[Postage]]-Table1[[#This Row],[Fee]]</f>
        <v>19.59</v>
      </c>
      <c r="H73" s="150" t="s">
        <v>227</v>
      </c>
      <c r="I73" s="87">
        <v>3.95</v>
      </c>
      <c r="J73" s="130">
        <f>Table1[[#This Row],[Postage Quoted]]-Table1[[#This Row],[Postage]]</f>
        <v>0.5</v>
      </c>
      <c r="K73" s="86" t="s">
        <v>228</v>
      </c>
      <c r="L73" s="162" t="s">
        <v>228</v>
      </c>
    </row>
    <row r="74" spans="1:12">
      <c r="A74" s="154">
        <v>45143</v>
      </c>
      <c r="B74" s="152" t="s">
        <v>310</v>
      </c>
      <c r="C74" s="87">
        <v>21</v>
      </c>
      <c r="D74" s="87">
        <v>2.99</v>
      </c>
      <c r="E74" s="87">
        <v>3.45</v>
      </c>
      <c r="F74" s="87">
        <f>Table1[[#This Row],[Money In]]-Table1[[#This Row],[Fee]]</f>
        <v>18.009999999999998</v>
      </c>
      <c r="G74" s="130">
        <f>Table1[[#This Row],[Money In]]-Table1[[#This Row],[Postage]]-Table1[[#This Row],[Fee]]</f>
        <v>14.56</v>
      </c>
      <c r="H74" s="150" t="s">
        <v>227</v>
      </c>
      <c r="I74" s="87">
        <v>5</v>
      </c>
      <c r="J74" s="130">
        <f>Table1[[#This Row],[Postage Quoted]]-Table1[[#This Row],[Postage]]</f>
        <v>1.5499999999999998</v>
      </c>
      <c r="K74" s="86" t="s">
        <v>228</v>
      </c>
      <c r="L74" s="162" t="s">
        <v>228</v>
      </c>
    </row>
    <row r="75" spans="1:12">
      <c r="A75" s="154">
        <v>45143</v>
      </c>
      <c r="B75" s="152" t="s">
        <v>311</v>
      </c>
      <c r="C75" s="87">
        <v>20.149999999999999</v>
      </c>
      <c r="D75" s="87">
        <v>2.88</v>
      </c>
      <c r="E75" s="87">
        <v>3.45</v>
      </c>
      <c r="F75" s="87">
        <f>Table1[[#This Row],[Money In]]-Table1[[#This Row],[Fee]]</f>
        <v>17.27</v>
      </c>
      <c r="G75" s="130">
        <f>Table1[[#This Row],[Money In]]-Table1[[#This Row],[Postage]]-Table1[[#This Row],[Fee]]</f>
        <v>13.82</v>
      </c>
      <c r="H75" s="150" t="s">
        <v>227</v>
      </c>
      <c r="I75" s="87">
        <v>5.15</v>
      </c>
      <c r="J75" s="130">
        <f>Table1[[#This Row],[Postage Quoted]]-Table1[[#This Row],[Postage]]</f>
        <v>1.7000000000000002</v>
      </c>
      <c r="K75" s="86" t="s">
        <v>228</v>
      </c>
      <c r="L75" s="162" t="s">
        <v>228</v>
      </c>
    </row>
    <row r="76" spans="1:12">
      <c r="A76" s="154">
        <v>45143</v>
      </c>
      <c r="B76" s="152" t="s">
        <v>312</v>
      </c>
      <c r="C76" s="87">
        <v>13.95</v>
      </c>
      <c r="D76" s="87">
        <v>0.66</v>
      </c>
      <c r="E76" s="87">
        <v>3.45</v>
      </c>
      <c r="F76" s="87">
        <f>Table1[[#This Row],[Money In]]-Table1[[#This Row],[Fee]]</f>
        <v>13.29</v>
      </c>
      <c r="G76" s="130">
        <f>Table1[[#This Row],[Money In]]-Table1[[#This Row],[Postage]]-Table1[[#This Row],[Fee]]</f>
        <v>9.84</v>
      </c>
      <c r="H76" s="150" t="s">
        <v>227</v>
      </c>
      <c r="I76" s="87">
        <v>3.95</v>
      </c>
      <c r="J76" s="130">
        <f>Table1[[#This Row],[Postage Quoted]]-Table1[[#This Row],[Postage]]</f>
        <v>0.5</v>
      </c>
      <c r="K76" s="86" t="s">
        <v>228</v>
      </c>
      <c r="L76" s="162" t="s">
        <v>228</v>
      </c>
    </row>
    <row r="77" spans="1:12">
      <c r="A77" s="154">
        <v>45143</v>
      </c>
      <c r="B77" s="152" t="s">
        <v>313</v>
      </c>
      <c r="C77" s="87">
        <v>13.95</v>
      </c>
      <c r="D77" s="87">
        <v>2.09</v>
      </c>
      <c r="E77" s="87">
        <v>3.45</v>
      </c>
      <c r="F77" s="87">
        <f>Table1[[#This Row],[Money In]]-Table1[[#This Row],[Fee]]</f>
        <v>11.86</v>
      </c>
      <c r="G77" s="130">
        <f>Table1[[#This Row],[Money In]]-Table1[[#This Row],[Postage]]-Table1[[#This Row],[Fee]]</f>
        <v>8.41</v>
      </c>
      <c r="H77" s="150" t="s">
        <v>227</v>
      </c>
      <c r="I77" s="87">
        <v>3.95</v>
      </c>
      <c r="J77" s="130">
        <f>Table1[[#This Row],[Postage Quoted]]-Table1[[#This Row],[Postage]]</f>
        <v>0.5</v>
      </c>
      <c r="K77" s="86" t="s">
        <v>228</v>
      </c>
      <c r="L77" s="162" t="s">
        <v>228</v>
      </c>
    </row>
    <row r="78" spans="1:12">
      <c r="A78" s="154">
        <v>45143</v>
      </c>
      <c r="B78" s="152" t="s">
        <v>314</v>
      </c>
      <c r="C78" s="87">
        <v>10.95</v>
      </c>
      <c r="D78" s="87">
        <v>1.7</v>
      </c>
      <c r="E78" s="87">
        <v>3.45</v>
      </c>
      <c r="F78" s="87">
        <f>Table1[[#This Row],[Money In]]-Table1[[#This Row],[Fee]]</f>
        <v>9.25</v>
      </c>
      <c r="G78" s="130">
        <f>Table1[[#This Row],[Money In]]-Table1[[#This Row],[Postage]]-Table1[[#This Row],[Fee]]</f>
        <v>5.7999999999999989</v>
      </c>
      <c r="H78" s="150" t="s">
        <v>227</v>
      </c>
      <c r="I78" s="87">
        <v>3.45</v>
      </c>
      <c r="J78" s="130">
        <f>Table1[[#This Row],[Postage Quoted]]-Table1[[#This Row],[Postage]]</f>
        <v>0</v>
      </c>
      <c r="K78" s="86" t="s">
        <v>228</v>
      </c>
      <c r="L78" s="162" t="s">
        <v>228</v>
      </c>
    </row>
    <row r="79" spans="1:12">
      <c r="A79" s="154">
        <v>45144</v>
      </c>
      <c r="B79" s="152" t="s">
        <v>315</v>
      </c>
      <c r="C79" s="87">
        <v>102</v>
      </c>
      <c r="D79" s="149">
        <v>2.91</v>
      </c>
      <c r="E79" s="87">
        <v>0</v>
      </c>
      <c r="F79" s="87">
        <f>Table1[[#This Row],[Money In]]-Table1[[#This Row],[Fee]]</f>
        <v>99.09</v>
      </c>
      <c r="G79" s="130">
        <f>Table1[[#This Row],[Money In]]-Table1[[#This Row],[Postage]]-Table1[[#This Row],[Fee]]</f>
        <v>99.09</v>
      </c>
      <c r="H79" s="150" t="s">
        <v>227</v>
      </c>
      <c r="I79" s="87">
        <v>0</v>
      </c>
      <c r="J79" s="130">
        <f>Table1[[#This Row],[Postage Quoted]]-Table1[[#This Row],[Postage]]</f>
        <v>0</v>
      </c>
      <c r="K79" s="86" t="s">
        <v>228</v>
      </c>
      <c r="L79" s="162" t="s">
        <v>228</v>
      </c>
    </row>
    <row r="80" spans="1:12">
      <c r="A80" s="154">
        <v>45144</v>
      </c>
      <c r="B80" s="152" t="s">
        <v>316</v>
      </c>
      <c r="C80" s="87">
        <v>62</v>
      </c>
      <c r="D80" s="87">
        <v>1.89</v>
      </c>
      <c r="E80" s="87">
        <v>4.6500000000000004</v>
      </c>
      <c r="F80" s="87">
        <f>Table1[[#This Row],[Money In]]-Table1[[#This Row],[Fee]]</f>
        <v>60.11</v>
      </c>
      <c r="G80" s="130">
        <f>Table1[[#This Row],[Money In]]-Table1[[#This Row],[Postage]]-Table1[[#This Row],[Fee]]</f>
        <v>55.46</v>
      </c>
      <c r="H80" s="150" t="s">
        <v>227</v>
      </c>
      <c r="I80" s="87">
        <v>5</v>
      </c>
      <c r="J80" s="130">
        <f>Table1[[#This Row],[Postage Quoted]]-Table1[[#This Row],[Postage]]</f>
        <v>0.34999999999999964</v>
      </c>
      <c r="K80" s="86" t="s">
        <v>228</v>
      </c>
      <c r="L80" s="162" t="s">
        <v>228</v>
      </c>
    </row>
    <row r="81" spans="1:12">
      <c r="A81" s="154">
        <v>45144</v>
      </c>
      <c r="B81" s="151" t="s">
        <v>317</v>
      </c>
      <c r="C81" s="87">
        <v>46</v>
      </c>
      <c r="D81" s="87">
        <v>1.48</v>
      </c>
      <c r="E81" s="87">
        <v>8.19</v>
      </c>
      <c r="F81" s="87">
        <f>Table1[[#This Row],[Money In]]-Table1[[#This Row],[Fee]]</f>
        <v>44.52</v>
      </c>
      <c r="G81" s="130">
        <f>Table1[[#This Row],[Money In]]-Table1[[#This Row],[Postage]]-Table1[[#This Row],[Fee]]</f>
        <v>36.330000000000005</v>
      </c>
      <c r="H81" s="150" t="s">
        <v>227</v>
      </c>
      <c r="I81" s="87">
        <v>12</v>
      </c>
      <c r="J81" s="130">
        <f>Table1[[#This Row],[Postage Quoted]]-Table1[[#This Row],[Postage]]</f>
        <v>3.8100000000000005</v>
      </c>
      <c r="K81" s="86" t="s">
        <v>228</v>
      </c>
      <c r="L81" s="162" t="s">
        <v>228</v>
      </c>
    </row>
    <row r="82" spans="1:12">
      <c r="A82" s="154">
        <v>45144</v>
      </c>
      <c r="B82" s="159" t="s">
        <v>318</v>
      </c>
      <c r="C82" s="149">
        <v>16.95</v>
      </c>
      <c r="D82" s="149">
        <v>0.73</v>
      </c>
      <c r="E82" s="149">
        <v>3.45</v>
      </c>
      <c r="F82" s="149">
        <f>Table1[[#This Row],[Money In]]-Table1[[#This Row],[Fee]]</f>
        <v>16.22</v>
      </c>
      <c r="G82" s="130">
        <f>Table1[[#This Row],[Money In]]-Table1[[#This Row],[Postage]]-Table1[[#This Row],[Fee]]</f>
        <v>12.77</v>
      </c>
      <c r="H82" s="150" t="s">
        <v>227</v>
      </c>
      <c r="I82" s="149">
        <v>4.95</v>
      </c>
      <c r="J82" s="130">
        <f>Table1[[#This Row],[Postage Quoted]]-Table1[[#This Row],[Postage]]</f>
        <v>1.5</v>
      </c>
      <c r="K82" s="86" t="s">
        <v>228</v>
      </c>
      <c r="L82" s="162" t="s">
        <v>228</v>
      </c>
    </row>
    <row r="83" spans="1:12">
      <c r="A83" s="154">
        <v>45144</v>
      </c>
      <c r="B83" s="153" t="s">
        <v>319</v>
      </c>
      <c r="C83" s="149">
        <v>9.5500000000000007</v>
      </c>
      <c r="D83" s="149">
        <v>1.52</v>
      </c>
      <c r="E83" s="149">
        <v>3.45</v>
      </c>
      <c r="F83" s="149">
        <f>Table1[[#This Row],[Money In]]-Table1[[#This Row],[Fee]]</f>
        <v>8.0300000000000011</v>
      </c>
      <c r="G83" s="130">
        <f>Table1[[#This Row],[Money In]]-Table1[[#This Row],[Postage]]-Table1[[#This Row],[Fee]]</f>
        <v>4.58</v>
      </c>
      <c r="H83" s="150" t="s">
        <v>227</v>
      </c>
      <c r="I83" s="149">
        <v>3.95</v>
      </c>
      <c r="J83" s="130">
        <f>Table1[[#This Row],[Postage Quoted]]-Table1[[#This Row],[Postage]]</f>
        <v>0.5</v>
      </c>
      <c r="K83" s="86" t="s">
        <v>228</v>
      </c>
      <c r="L83" s="162" t="s">
        <v>228</v>
      </c>
    </row>
    <row r="84" spans="1:12">
      <c r="A84" s="154">
        <v>45144</v>
      </c>
      <c r="B84" s="153" t="s">
        <v>320</v>
      </c>
      <c r="C84" s="149">
        <v>9.5</v>
      </c>
      <c r="D84" s="149">
        <v>1.52</v>
      </c>
      <c r="E84" s="149">
        <v>3.45</v>
      </c>
      <c r="F84" s="149">
        <f>Table1[[#This Row],[Money In]]-Table1[[#This Row],[Fee]]</f>
        <v>7.98</v>
      </c>
      <c r="G84" s="130">
        <f>Table1[[#This Row],[Money In]]-Table1[[#This Row],[Postage]]-Table1[[#This Row],[Fee]]</f>
        <v>4.5299999999999994</v>
      </c>
      <c r="H84" s="150" t="s">
        <v>227</v>
      </c>
      <c r="I84" s="149">
        <v>4</v>
      </c>
      <c r="J84" s="130">
        <f>Table1[[#This Row],[Postage Quoted]]-Table1[[#This Row],[Postage]]</f>
        <v>0.54999999999999982</v>
      </c>
      <c r="K84" s="86" t="s">
        <v>228</v>
      </c>
      <c r="L84" s="162" t="s">
        <v>228</v>
      </c>
    </row>
    <row r="85" spans="1:12">
      <c r="A85" s="154">
        <v>45145</v>
      </c>
      <c r="B85" s="153" t="s">
        <v>321</v>
      </c>
      <c r="C85" s="149">
        <v>95</v>
      </c>
      <c r="D85" s="149">
        <v>12.46</v>
      </c>
      <c r="E85" s="149">
        <v>18.54</v>
      </c>
      <c r="F85" s="149">
        <f>Table1[[#This Row],[Money In]]-Table1[[#This Row],[Fee]]</f>
        <v>82.539999999999992</v>
      </c>
      <c r="G85" s="130">
        <f>Table1[[#This Row],[Money In]]-Table1[[#This Row],[Postage]]-Table1[[#This Row],[Fee]]</f>
        <v>64</v>
      </c>
      <c r="H85" s="150" t="s">
        <v>227</v>
      </c>
      <c r="I85" s="149">
        <v>20</v>
      </c>
      <c r="J85" s="130">
        <f>Table1[[#This Row],[Postage Quoted]]-Table1[[#This Row],[Postage]]</f>
        <v>1.4600000000000009</v>
      </c>
      <c r="K85" s="86" t="s">
        <v>228</v>
      </c>
      <c r="L85" s="162" t="s">
        <v>228</v>
      </c>
    </row>
    <row r="86" spans="1:12">
      <c r="A86" s="154">
        <v>45145</v>
      </c>
      <c r="B86" s="153" t="s">
        <v>322</v>
      </c>
      <c r="C86" s="149">
        <v>60</v>
      </c>
      <c r="D86" s="149">
        <v>7.98</v>
      </c>
      <c r="E86" s="149">
        <v>17.54</v>
      </c>
      <c r="F86" s="149">
        <f>Table1[[#This Row],[Money In]]-Table1[[#This Row],[Fee]]</f>
        <v>52.019999999999996</v>
      </c>
      <c r="G86" s="130">
        <f>Table1[[#This Row],[Money In]]-Table1[[#This Row],[Postage]]-Table1[[#This Row],[Fee]]</f>
        <v>34.480000000000004</v>
      </c>
      <c r="H86" s="150" t="s">
        <v>227</v>
      </c>
      <c r="I86" s="149">
        <v>20</v>
      </c>
      <c r="J86" s="130">
        <f>Table1[[#This Row],[Postage Quoted]]-Table1[[#This Row],[Postage]]</f>
        <v>2.4600000000000009</v>
      </c>
      <c r="K86" s="86" t="s">
        <v>228</v>
      </c>
      <c r="L86" s="162" t="s">
        <v>228</v>
      </c>
    </row>
    <row r="87" spans="1:12">
      <c r="A87" s="154">
        <v>45145</v>
      </c>
      <c r="B87" s="153" t="s">
        <v>323</v>
      </c>
      <c r="C87" s="149">
        <v>27</v>
      </c>
      <c r="D87" s="149">
        <v>0.99</v>
      </c>
      <c r="E87" s="149">
        <v>2.7</v>
      </c>
      <c r="F87" s="149">
        <f>Table1[[#This Row],[Money In]]-Table1[[#This Row],[Fee]]</f>
        <v>26.01</v>
      </c>
      <c r="G87" s="130">
        <f>Table1[[#This Row],[Money In]]-Table1[[#This Row],[Postage]]-Table1[[#This Row],[Fee]]</f>
        <v>23.310000000000002</v>
      </c>
      <c r="H87" s="150" t="s">
        <v>227</v>
      </c>
      <c r="I87" s="149">
        <v>5</v>
      </c>
      <c r="J87" s="130">
        <f>Table1[[#This Row],[Postage Quoted]]-Table1[[#This Row],[Postage]]</f>
        <v>2.2999999999999998</v>
      </c>
      <c r="K87" s="86" t="s">
        <v>228</v>
      </c>
      <c r="L87" s="162" t="s">
        <v>228</v>
      </c>
    </row>
    <row r="88" spans="1:12">
      <c r="A88" s="154">
        <v>45145</v>
      </c>
      <c r="B88" s="153" t="s">
        <v>324</v>
      </c>
      <c r="C88" s="149">
        <v>23.71</v>
      </c>
      <c r="D88" s="149">
        <v>0.91</v>
      </c>
      <c r="E88" s="149">
        <v>2.7</v>
      </c>
      <c r="F88" s="149">
        <f>Table1[[#This Row],[Money In]]-Table1[[#This Row],[Fee]]</f>
        <v>22.8</v>
      </c>
      <c r="G88" s="130">
        <f>Table1[[#This Row],[Money In]]-Table1[[#This Row],[Postage]]-Table1[[#This Row],[Fee]]</f>
        <v>20.100000000000001</v>
      </c>
      <c r="H88" s="150" t="s">
        <v>227</v>
      </c>
      <c r="I88" s="149">
        <v>3.95</v>
      </c>
      <c r="J88" s="130">
        <f>Table1[[#This Row],[Postage Quoted]]-Table1[[#This Row],[Postage]]</f>
        <v>1.25</v>
      </c>
      <c r="K88" s="86" t="s">
        <v>228</v>
      </c>
      <c r="L88" s="162" t="s">
        <v>228</v>
      </c>
    </row>
    <row r="89" spans="1:12">
      <c r="A89" s="154">
        <v>45145</v>
      </c>
      <c r="B89" s="153" t="s">
        <v>325</v>
      </c>
      <c r="C89" s="149">
        <v>16.5</v>
      </c>
      <c r="D89" s="149">
        <v>1.06</v>
      </c>
      <c r="E89" s="149">
        <v>4.25</v>
      </c>
      <c r="F89" s="149">
        <f>Table1[[#This Row],[Money In]]-Table1[[#This Row],[Fee]]</f>
        <v>15.44</v>
      </c>
      <c r="G89" s="130">
        <f>Table1[[#This Row],[Money In]]-Table1[[#This Row],[Postage]]-Table1[[#This Row],[Fee]]</f>
        <v>11.19</v>
      </c>
      <c r="H89" s="150" t="s">
        <v>227</v>
      </c>
      <c r="I89" s="149">
        <v>5</v>
      </c>
      <c r="J89" s="130">
        <f>Table1[[#This Row],[Postage Quoted]]-Table1[[#This Row],[Postage]]</f>
        <v>0.75</v>
      </c>
      <c r="K89" s="86" t="s">
        <v>228</v>
      </c>
      <c r="L89" s="162" t="s">
        <v>228</v>
      </c>
    </row>
    <row r="90" spans="1:12">
      <c r="A90" s="154">
        <v>45145</v>
      </c>
      <c r="B90" s="153" t="s">
        <v>326</v>
      </c>
      <c r="C90" s="149">
        <v>13.95</v>
      </c>
      <c r="D90" s="149">
        <v>0.66</v>
      </c>
      <c r="E90" s="149">
        <v>2.7</v>
      </c>
      <c r="F90" s="149">
        <f>Table1[[#This Row],[Money In]]-Table1[[#This Row],[Fee]]</f>
        <v>13.29</v>
      </c>
      <c r="G90" s="130">
        <f>Table1[[#This Row],[Money In]]-Table1[[#This Row],[Postage]]-Table1[[#This Row],[Fee]]</f>
        <v>10.59</v>
      </c>
      <c r="H90" s="150" t="s">
        <v>227</v>
      </c>
      <c r="I90" s="149">
        <v>3.95</v>
      </c>
      <c r="J90" s="130">
        <f>Table1[[#This Row],[Postage Quoted]]-Table1[[#This Row],[Postage]]</f>
        <v>1.25</v>
      </c>
      <c r="K90" s="86" t="s">
        <v>228</v>
      </c>
      <c r="L90" s="162" t="s">
        <v>228</v>
      </c>
    </row>
    <row r="91" spans="1:12">
      <c r="A91" s="154">
        <v>45145</v>
      </c>
      <c r="B91" s="151" t="s">
        <v>327</v>
      </c>
      <c r="C91" s="149">
        <v>12.5</v>
      </c>
      <c r="D91" s="149">
        <v>0.62</v>
      </c>
      <c r="E91" s="149">
        <v>3.3</v>
      </c>
      <c r="F91" s="149">
        <f>Table1[[#This Row],[Money In]]-Table1[[#This Row],[Fee]]</f>
        <v>11.88</v>
      </c>
      <c r="G91" s="130">
        <f>Table1[[#This Row],[Money In]]-Table1[[#This Row],[Postage]]-Table1[[#This Row],[Fee]]</f>
        <v>8.58</v>
      </c>
      <c r="H91" s="150" t="s">
        <v>227</v>
      </c>
      <c r="I91" s="149">
        <v>3</v>
      </c>
      <c r="J91" s="130">
        <f>Table1[[#This Row],[Postage Quoted]]-Table1[[#This Row],[Postage]]</f>
        <v>-0.29999999999999982</v>
      </c>
      <c r="K91" s="86" t="s">
        <v>228</v>
      </c>
      <c r="L91" s="162" t="s">
        <v>228</v>
      </c>
    </row>
    <row r="92" spans="1:12">
      <c r="A92" s="154">
        <v>45145</v>
      </c>
      <c r="B92" s="153" t="s">
        <v>328</v>
      </c>
      <c r="C92" s="149">
        <v>10.55</v>
      </c>
      <c r="D92" s="149">
        <v>0.56999999999999995</v>
      </c>
      <c r="E92" s="149">
        <v>2.7</v>
      </c>
      <c r="F92" s="149">
        <f>Table1[[#This Row],[Money In]]-Table1[[#This Row],[Fee]]</f>
        <v>9.98</v>
      </c>
      <c r="G92" s="130">
        <f>Table1[[#This Row],[Money In]]-Table1[[#This Row],[Postage]]-Table1[[#This Row],[Fee]]</f>
        <v>7.28</v>
      </c>
      <c r="H92" s="150" t="s">
        <v>227</v>
      </c>
      <c r="I92" s="149">
        <v>3.95</v>
      </c>
      <c r="J92" s="130">
        <f>Table1[[#This Row],[Postage Quoted]]-Table1[[#This Row],[Postage]]</f>
        <v>1.25</v>
      </c>
      <c r="K92" s="86" t="s">
        <v>228</v>
      </c>
      <c r="L92" s="162" t="s">
        <v>228</v>
      </c>
    </row>
    <row r="93" spans="1:12">
      <c r="A93" s="154">
        <v>45145</v>
      </c>
      <c r="B93" s="159" t="s">
        <v>329</v>
      </c>
      <c r="C93" s="149">
        <v>8.9499999999999993</v>
      </c>
      <c r="D93" s="149">
        <v>0.53</v>
      </c>
      <c r="E93" s="149">
        <v>3.45</v>
      </c>
      <c r="F93" s="149">
        <f>Table1[[#This Row],[Money In]]-Table1[[#This Row],[Fee]]</f>
        <v>8.42</v>
      </c>
      <c r="G93" s="130">
        <f>Table1[[#This Row],[Money In]]-Table1[[#This Row],[Postage]]-Table1[[#This Row],[Fee]]</f>
        <v>4.9699999999999989</v>
      </c>
      <c r="H93" s="85" t="s">
        <v>227</v>
      </c>
      <c r="I93" s="149">
        <v>3.95</v>
      </c>
      <c r="J93" s="130">
        <f>Table1[[#This Row],[Postage Quoted]]-Table1[[#This Row],[Postage]]</f>
        <v>0.5</v>
      </c>
      <c r="K93" s="86" t="s">
        <v>228</v>
      </c>
      <c r="L93" s="162" t="s">
        <v>228</v>
      </c>
    </row>
    <row r="94" spans="1:12">
      <c r="A94" s="154">
        <v>45145</v>
      </c>
      <c r="B94" s="153" t="s">
        <v>330</v>
      </c>
      <c r="C94" s="149">
        <v>8.9499999999999993</v>
      </c>
      <c r="D94" s="149">
        <v>0.53</v>
      </c>
      <c r="E94" s="149">
        <v>3.45</v>
      </c>
      <c r="F94" s="149">
        <f>Table1[[#This Row],[Money In]]-Table1[[#This Row],[Fee]]</f>
        <v>8.42</v>
      </c>
      <c r="G94" s="130">
        <f>Table1[[#This Row],[Money In]]-Table1[[#This Row],[Postage]]-Table1[[#This Row],[Fee]]</f>
        <v>4.9699999999999989</v>
      </c>
      <c r="H94" s="85" t="s">
        <v>227</v>
      </c>
      <c r="I94" s="149">
        <v>3.95</v>
      </c>
      <c r="J94" s="130">
        <f>Table1[[#This Row],[Postage Quoted]]-Table1[[#This Row],[Postage]]</f>
        <v>0.5</v>
      </c>
      <c r="K94" s="86" t="s">
        <v>228</v>
      </c>
      <c r="L94" s="162" t="s">
        <v>228</v>
      </c>
    </row>
    <row r="95" spans="1:12">
      <c r="A95" s="154">
        <v>45145</v>
      </c>
      <c r="B95" s="153" t="s">
        <v>331</v>
      </c>
      <c r="C95" s="149">
        <v>9.4499999999999993</v>
      </c>
      <c r="D95" s="149">
        <v>1.51</v>
      </c>
      <c r="E95" s="149">
        <v>3.45</v>
      </c>
      <c r="F95" s="149">
        <f>Table1[[#This Row],[Money In]]-Table1[[#This Row],[Fee]]</f>
        <v>7.9399999999999995</v>
      </c>
      <c r="G95" s="130">
        <f>Table1[[#This Row],[Money In]]-Table1[[#This Row],[Postage]]-Table1[[#This Row],[Fee]]</f>
        <v>4.4899999999999993</v>
      </c>
      <c r="H95" s="150" t="s">
        <v>227</v>
      </c>
      <c r="I95" s="149">
        <v>3.95</v>
      </c>
      <c r="J95" s="130">
        <f>Table1[[#This Row],[Postage Quoted]]-Table1[[#This Row],[Postage]]</f>
        <v>0.5</v>
      </c>
      <c r="K95" s="86" t="s">
        <v>228</v>
      </c>
      <c r="L95" s="162" t="s">
        <v>228</v>
      </c>
    </row>
    <row r="96" spans="1:12">
      <c r="A96" s="154">
        <v>45148</v>
      </c>
      <c r="B96" s="153" t="s">
        <v>332</v>
      </c>
      <c r="C96" s="149">
        <v>25</v>
      </c>
      <c r="D96" s="149">
        <v>3.5</v>
      </c>
      <c r="E96" s="149">
        <v>5.2</v>
      </c>
      <c r="F96" s="149">
        <f>Table1[[#This Row],[Money In]]-Table1[[#This Row],[Fee]]</f>
        <v>21.5</v>
      </c>
      <c r="G96" s="130">
        <f>Table1[[#This Row],[Money In]]-Table1[[#This Row],[Postage]]-Table1[[#This Row],[Fee]]</f>
        <v>16.3</v>
      </c>
      <c r="H96" s="150" t="s">
        <v>227</v>
      </c>
      <c r="I96" s="149">
        <v>6</v>
      </c>
      <c r="J96" s="130">
        <f>Table1[[#This Row],[Postage Quoted]]-Table1[[#This Row],[Postage]]</f>
        <v>0.79999999999999982</v>
      </c>
      <c r="K96" s="86" t="s">
        <v>228</v>
      </c>
      <c r="L96" s="162" t="s">
        <v>228</v>
      </c>
    </row>
    <row r="97" spans="1:15">
      <c r="A97" s="154">
        <v>45149</v>
      </c>
      <c r="B97" s="153" t="s">
        <v>333</v>
      </c>
      <c r="C97" s="149">
        <v>34.15</v>
      </c>
      <c r="D97" s="149">
        <v>4.67</v>
      </c>
      <c r="E97" s="149">
        <v>3.45</v>
      </c>
      <c r="F97" s="149">
        <f>Table1[[#This Row],[Money In]]-Table1[[#This Row],[Fee]]</f>
        <v>29.479999999999997</v>
      </c>
      <c r="G97" s="130">
        <f>Table1[[#This Row],[Money In]]-Table1[[#This Row],[Postage]]-Table1[[#This Row],[Fee]]</f>
        <v>26.03</v>
      </c>
      <c r="H97" s="150" t="s">
        <v>227</v>
      </c>
      <c r="I97" s="149">
        <v>5.15</v>
      </c>
      <c r="J97" s="130">
        <f>Table1[[#This Row],[Postage Quoted]]-Table1[[#This Row],[Postage]]</f>
        <v>1.7000000000000002</v>
      </c>
      <c r="K97" s="86" t="s">
        <v>228</v>
      </c>
      <c r="L97" s="162" t="s">
        <v>228</v>
      </c>
    </row>
    <row r="98" spans="1:15">
      <c r="A98" s="154">
        <v>45149</v>
      </c>
      <c r="B98" s="153" t="s">
        <v>306</v>
      </c>
      <c r="C98" s="149">
        <v>16.95</v>
      </c>
      <c r="D98" s="149">
        <v>2.4700000000000002</v>
      </c>
      <c r="E98" s="149">
        <v>3.45</v>
      </c>
      <c r="F98" s="149">
        <f>Table1[[#This Row],[Money In]]-Table1[[#This Row],[Fee]]</f>
        <v>14.479999999999999</v>
      </c>
      <c r="G98" s="130">
        <f>Table1[[#This Row],[Money In]]-Table1[[#This Row],[Postage]]-Table1[[#This Row],[Fee]]</f>
        <v>11.03</v>
      </c>
      <c r="H98" s="150" t="s">
        <v>227</v>
      </c>
      <c r="I98" s="149">
        <v>4.95</v>
      </c>
      <c r="J98" s="130">
        <f>Table1[[#This Row],[Postage Quoted]]-Table1[[#This Row],[Postage]]</f>
        <v>1.5</v>
      </c>
      <c r="K98" s="86" t="s">
        <v>228</v>
      </c>
      <c r="L98" s="162" t="s">
        <v>228</v>
      </c>
    </row>
    <row r="99" spans="1:15">
      <c r="A99" s="154">
        <v>45150</v>
      </c>
      <c r="B99" s="153" t="s">
        <v>334</v>
      </c>
      <c r="C99" s="149">
        <v>20.95</v>
      </c>
      <c r="D99" s="149">
        <v>2.98</v>
      </c>
      <c r="E99" s="149">
        <v>3.45</v>
      </c>
      <c r="F99" s="149">
        <f>Table1[[#This Row],[Money In]]-Table1[[#This Row],[Fee]]</f>
        <v>17.97</v>
      </c>
      <c r="G99" s="130">
        <f>Table1[[#This Row],[Money In]]-Table1[[#This Row],[Postage]]-Table1[[#This Row],[Fee]]</f>
        <v>14.52</v>
      </c>
      <c r="H99" s="150" t="s">
        <v>227</v>
      </c>
      <c r="I99" s="149">
        <v>3.95</v>
      </c>
      <c r="J99" s="130">
        <f>Table1[[#This Row],[Postage Quoted]]-Table1[[#This Row],[Postage]]</f>
        <v>0.5</v>
      </c>
      <c r="K99" s="86" t="s">
        <v>228</v>
      </c>
      <c r="L99" s="162" t="s">
        <v>228</v>
      </c>
      <c r="O99">
        <v>236.29</v>
      </c>
    </row>
    <row r="100" spans="1:15">
      <c r="A100" s="154">
        <v>45156</v>
      </c>
      <c r="B100" s="153" t="s">
        <v>335</v>
      </c>
      <c r="C100" s="149">
        <v>95</v>
      </c>
      <c r="D100" s="149">
        <v>3.95</v>
      </c>
      <c r="E100" s="149">
        <v>4.6500000000000004</v>
      </c>
      <c r="F100" s="149">
        <f>Table1[[#This Row],[Money In]]-Table1[[#This Row],[Fee]]</f>
        <v>91.05</v>
      </c>
      <c r="G100" s="130">
        <f>Table1[[#This Row],[Money In]]-Table1[[#This Row],[Postage]]-Table1[[#This Row],[Fee]]</f>
        <v>86.399999999999991</v>
      </c>
      <c r="H100" s="150" t="s">
        <v>227</v>
      </c>
      <c r="I100" s="149">
        <v>5</v>
      </c>
      <c r="J100" s="130">
        <f>Table1[[#This Row],[Postage Quoted]]-Table1[[#This Row],[Postage]]</f>
        <v>0.34999999999999964</v>
      </c>
      <c r="K100" s="86" t="s">
        <v>228</v>
      </c>
      <c r="L100" s="162" t="s">
        <v>228</v>
      </c>
      <c r="O100">
        <f>5400-5127.33</f>
        <v>272.67000000000007</v>
      </c>
    </row>
    <row r="101" spans="1:15">
      <c r="A101" s="154">
        <v>45157</v>
      </c>
      <c r="B101" s="153" t="s">
        <v>336</v>
      </c>
      <c r="C101" s="149">
        <v>21.45</v>
      </c>
      <c r="D101" s="149">
        <v>1.1200000000000001</v>
      </c>
      <c r="E101" s="149">
        <v>2.7</v>
      </c>
      <c r="F101" s="149">
        <f>Table1[[#This Row],[Money In]]-Table1[[#This Row],[Fee]]</f>
        <v>20.329999999999998</v>
      </c>
      <c r="G101" s="130">
        <f>Table1[[#This Row],[Money In]]-Table1[[#This Row],[Postage]]-Table1[[#This Row],[Fee]]</f>
        <v>17.63</v>
      </c>
      <c r="H101" s="150" t="s">
        <v>227</v>
      </c>
      <c r="I101" s="149">
        <v>3.95</v>
      </c>
      <c r="J101" s="130">
        <f>Table1[[#This Row],[Postage Quoted]]-Table1[[#This Row],[Postage]]</f>
        <v>1.25</v>
      </c>
      <c r="K101" s="86" t="s">
        <v>228</v>
      </c>
      <c r="L101" s="162" t="s">
        <v>228</v>
      </c>
    </row>
    <row r="102" spans="1:15">
      <c r="A102" s="154">
        <v>45158</v>
      </c>
      <c r="B102" s="153" t="s">
        <v>337</v>
      </c>
      <c r="C102" s="149">
        <v>12.2</v>
      </c>
      <c r="D102" s="149">
        <v>0.77</v>
      </c>
      <c r="E102" s="149">
        <v>3.45</v>
      </c>
      <c r="F102" s="149">
        <f>Table1[[#This Row],[Money In]]-Table1[[#This Row],[Fee]]</f>
        <v>11.43</v>
      </c>
      <c r="G102" s="130">
        <f>Table1[[#This Row],[Money In]]-Table1[[#This Row],[Postage]]-Table1[[#This Row],[Fee]]</f>
        <v>7.98</v>
      </c>
      <c r="H102" s="85" t="s">
        <v>227</v>
      </c>
      <c r="I102" s="149">
        <v>3.95</v>
      </c>
      <c r="J102" s="130">
        <f>Table1[[#This Row],[Postage Quoted]]-Table1[[#This Row],[Postage]]</f>
        <v>0.5</v>
      </c>
      <c r="K102" s="86" t="s">
        <v>228</v>
      </c>
      <c r="L102" s="162" t="s">
        <v>228</v>
      </c>
    </row>
    <row r="103" spans="1:15">
      <c r="A103" s="154">
        <v>45159</v>
      </c>
      <c r="B103" s="153" t="s">
        <v>338</v>
      </c>
      <c r="C103" s="149">
        <v>37.950000000000003</v>
      </c>
      <c r="D103" s="149">
        <v>1.76</v>
      </c>
      <c r="E103" s="149">
        <v>2.7</v>
      </c>
      <c r="F103" s="149">
        <f>Table1[[#This Row],[Money In]]-Table1[[#This Row],[Fee]]</f>
        <v>36.190000000000005</v>
      </c>
      <c r="G103" s="130">
        <f>Table1[[#This Row],[Money In]]-Table1[[#This Row],[Postage]]-Table1[[#This Row],[Fee]]</f>
        <v>33.49</v>
      </c>
      <c r="H103" s="150" t="s">
        <v>227</v>
      </c>
      <c r="I103" s="149">
        <v>3.95</v>
      </c>
      <c r="J103" s="130">
        <f>Table1[[#This Row],[Postage Quoted]]-Table1[[#This Row],[Postage]]</f>
        <v>1.25</v>
      </c>
      <c r="K103" s="86" t="s">
        <v>228</v>
      </c>
      <c r="L103" s="162" t="s">
        <v>228</v>
      </c>
    </row>
    <row r="104" spans="1:15">
      <c r="A104" s="154">
        <v>45159</v>
      </c>
      <c r="B104" s="151" t="s">
        <v>339</v>
      </c>
      <c r="C104" s="149">
        <v>24.94</v>
      </c>
      <c r="D104" s="149">
        <v>1.26</v>
      </c>
      <c r="E104" s="149">
        <v>3.45</v>
      </c>
      <c r="F104" s="149">
        <f>Table1[[#This Row],[Money In]]-Table1[[#This Row],[Fee]]</f>
        <v>23.68</v>
      </c>
      <c r="G104" s="130">
        <f>Table1[[#This Row],[Money In]]-Table1[[#This Row],[Postage]]-Table1[[#This Row],[Fee]]</f>
        <v>20.23</v>
      </c>
      <c r="H104" s="150" t="s">
        <v>227</v>
      </c>
      <c r="I104" s="149">
        <v>3.95</v>
      </c>
      <c r="J104" s="130">
        <f>Table1[[#This Row],[Postage Quoted]]-Table1[[#This Row],[Postage]]</f>
        <v>0.5</v>
      </c>
      <c r="K104" s="86" t="s">
        <v>228</v>
      </c>
      <c r="L104" s="162" t="s">
        <v>228</v>
      </c>
    </row>
    <row r="105" spans="1:15">
      <c r="A105" s="154">
        <v>45159</v>
      </c>
      <c r="B105" s="159" t="s">
        <v>340</v>
      </c>
      <c r="C105" s="149">
        <v>14.45</v>
      </c>
      <c r="D105" s="149">
        <v>0.85</v>
      </c>
      <c r="E105" s="149">
        <v>2.7</v>
      </c>
      <c r="F105" s="149">
        <f>Table1[[#This Row],[Money In]]-Table1[[#This Row],[Fee]]</f>
        <v>13.6</v>
      </c>
      <c r="G105" s="130">
        <f>Table1[[#This Row],[Money In]]-Table1[[#This Row],[Postage]]-Table1[[#This Row],[Fee]]</f>
        <v>10.9</v>
      </c>
      <c r="H105" s="150" t="s">
        <v>227</v>
      </c>
      <c r="I105" s="149">
        <v>3.95</v>
      </c>
      <c r="J105" s="130">
        <f>Table1[[#This Row],[Postage Quoted]]-Table1[[#This Row],[Postage]]</f>
        <v>1.25</v>
      </c>
      <c r="K105" s="86" t="s">
        <v>228</v>
      </c>
      <c r="L105" s="162" t="s">
        <v>228</v>
      </c>
    </row>
    <row r="106" spans="1:15">
      <c r="A106" s="154"/>
      <c r="B106" s="151" t="s">
        <v>324</v>
      </c>
      <c r="C106" s="149">
        <v>21</v>
      </c>
      <c r="D106" s="149">
        <v>2.99</v>
      </c>
      <c r="E106" s="149">
        <v>2.7</v>
      </c>
      <c r="F106" s="149">
        <f>Table1[[#This Row],[Money In]]-Table1[[#This Row],[Fee]]</f>
        <v>18.009999999999998</v>
      </c>
      <c r="G106" s="130">
        <f>Table1[[#This Row],[Money In]]-Table1[[#This Row],[Postage]]-Table1[[#This Row],[Fee]]</f>
        <v>15.31</v>
      </c>
      <c r="H106" s="150" t="s">
        <v>227</v>
      </c>
      <c r="I106" s="149">
        <v>3.95</v>
      </c>
      <c r="J106" s="130">
        <f>Table1[[#This Row],[Postage Quoted]]-Table1[[#This Row],[Postage]]</f>
        <v>1.25</v>
      </c>
      <c r="K106" s="86" t="s">
        <v>341</v>
      </c>
      <c r="L106" s="162"/>
    </row>
    <row r="107" spans="1:15">
      <c r="A107" s="154"/>
      <c r="B107" s="152" t="s">
        <v>327</v>
      </c>
      <c r="C107" s="149">
        <v>11.5</v>
      </c>
      <c r="D107" s="149">
        <v>1.77</v>
      </c>
      <c r="E107" s="149">
        <v>2.7</v>
      </c>
      <c r="F107" s="149">
        <f>Table1[[#This Row],[Money In]]-Table1[[#This Row],[Fee]]</f>
        <v>9.73</v>
      </c>
      <c r="G107" s="130">
        <f>C107-E107-Table1[[#This Row],[Fee]]</f>
        <v>7.0300000000000011</v>
      </c>
      <c r="H107" s="85" t="s">
        <v>227</v>
      </c>
      <c r="I107" s="149">
        <v>3</v>
      </c>
      <c r="J107" s="130">
        <f>Table1[[#This Row],[Postage Quoted]]-Table1[[#This Row],[Postage]]</f>
        <v>0.29999999999999982</v>
      </c>
      <c r="K107" s="86" t="s">
        <v>228</v>
      </c>
      <c r="L107" s="162" t="s">
        <v>228</v>
      </c>
    </row>
    <row r="108" spans="1:15">
      <c r="A108" s="154"/>
      <c r="B108" s="159" t="s">
        <v>327</v>
      </c>
      <c r="C108" s="149">
        <v>8.5</v>
      </c>
      <c r="D108" s="149">
        <v>1.39</v>
      </c>
      <c r="E108" s="149">
        <v>2.7</v>
      </c>
      <c r="F108" s="149">
        <f>Table1[[#This Row],[Money In]]-Table1[[#This Row],[Fee]]</f>
        <v>7.11</v>
      </c>
      <c r="G108" s="130">
        <f>C108-E108-Table1[[#This Row],[Fee]]</f>
        <v>4.41</v>
      </c>
      <c r="H108" s="85" t="s">
        <v>227</v>
      </c>
      <c r="I108" s="149">
        <v>3</v>
      </c>
      <c r="J108" s="130">
        <f>Table1[[#This Row],[Postage Quoted]]-Table1[[#This Row],[Postage]]</f>
        <v>0.29999999999999982</v>
      </c>
      <c r="K108" s="86" t="s">
        <v>228</v>
      </c>
      <c r="L108" s="162" t="s">
        <v>228</v>
      </c>
    </row>
    <row r="109" spans="1:15">
      <c r="A109" s="154"/>
      <c r="B109" s="152" t="s">
        <v>342</v>
      </c>
      <c r="C109" s="149">
        <v>4.9400000000000004</v>
      </c>
      <c r="D109" s="149">
        <v>0.93</v>
      </c>
      <c r="E109" s="149">
        <v>3.45</v>
      </c>
      <c r="F109" s="149">
        <f>Table1[[#This Row],[Money In]]-Table1[[#This Row],[Fee]]</f>
        <v>4.0100000000000007</v>
      </c>
      <c r="G109" s="130">
        <f>Table1[[#This Row],[Money In]]-Table1[[#This Row],[Postage]]-Table1[[#This Row],[Fee]]</f>
        <v>0.56000000000000016</v>
      </c>
      <c r="H109" s="85" t="s">
        <v>227</v>
      </c>
      <c r="I109" s="149">
        <v>3.95</v>
      </c>
      <c r="J109" s="130">
        <f>Table1[[#This Row],[Postage Quoted]]-Table1[[#This Row],[Postage]]</f>
        <v>0.5</v>
      </c>
      <c r="K109" s="86" t="s">
        <v>228</v>
      </c>
      <c r="L109" s="162" t="s">
        <v>228</v>
      </c>
    </row>
    <row r="110" spans="1:15">
      <c r="A110" s="180"/>
      <c r="B110" s="159"/>
      <c r="C110" s="149"/>
      <c r="D110" s="149"/>
      <c r="E110" s="149"/>
      <c r="F110" s="149">
        <f>Table1[[#This Row],[Money In]]-Table1[[#This Row],[Fee]]</f>
        <v>0</v>
      </c>
      <c r="G110" s="130">
        <f>C110-E110-Table1[[#This Row],[Fee]]</f>
        <v>0</v>
      </c>
      <c r="H110" s="85"/>
      <c r="I110" s="149"/>
      <c r="J110" s="130">
        <f>Table1[[#This Row],[Postage Quoted]]-Table1[[#This Row],[Postage]]</f>
        <v>0</v>
      </c>
      <c r="K110" s="86"/>
      <c r="L110" s="162"/>
    </row>
    <row r="111" spans="1:15">
      <c r="A111" s="180"/>
      <c r="B111" s="159"/>
      <c r="C111" s="149"/>
      <c r="D111" s="149"/>
      <c r="E111" s="149"/>
      <c r="F111" s="149">
        <f>Table1[[#This Row],[Money In]]-Table1[[#This Row],[Fee]]</f>
        <v>0</v>
      </c>
      <c r="G111" s="130">
        <f>C111-E111-Table1[[#This Row],[Fee]]</f>
        <v>0</v>
      </c>
      <c r="H111" s="85"/>
      <c r="I111" s="149"/>
      <c r="J111" s="130">
        <f>Table1[[#This Row],[Postage Quoted]]-Table1[[#This Row],[Postage]]</f>
        <v>0</v>
      </c>
      <c r="K111" s="86"/>
      <c r="L111" s="162"/>
    </row>
    <row r="112" spans="1:15">
      <c r="A112" s="180"/>
      <c r="B112" s="159"/>
      <c r="C112" s="149"/>
      <c r="D112" s="149"/>
      <c r="E112" s="149"/>
      <c r="F112" s="149">
        <f>Table1[[#This Row],[Money In]]-Table1[[#This Row],[Fee]]</f>
        <v>0</v>
      </c>
      <c r="G112" s="130">
        <f>C112-E112-Table1[[#This Row],[Fee]]</f>
        <v>0</v>
      </c>
      <c r="H112" s="85"/>
      <c r="I112" s="149"/>
      <c r="J112" s="130">
        <f>Table1[[#This Row],[Postage Quoted]]-Table1[[#This Row],[Postage]]</f>
        <v>0</v>
      </c>
      <c r="K112" s="86"/>
      <c r="L112" s="162"/>
    </row>
    <row r="113" spans="1:14">
      <c r="A113" s="180"/>
      <c r="B113" s="159"/>
      <c r="C113" s="149"/>
      <c r="D113" s="149"/>
      <c r="E113" s="149"/>
      <c r="F113" s="149">
        <f>Table1[[#This Row],[Money In]]-Table1[[#This Row],[Fee]]</f>
        <v>0</v>
      </c>
      <c r="G113" s="130">
        <f>C113-E113-Table1[[#This Row],[Fee]]</f>
        <v>0</v>
      </c>
      <c r="H113" s="85"/>
      <c r="I113" s="149"/>
      <c r="J113" s="130">
        <f>Table1[[#This Row],[Postage Quoted]]-Table1[[#This Row],[Postage]]</f>
        <v>0</v>
      </c>
      <c r="K113" s="86"/>
      <c r="L113" s="162"/>
    </row>
    <row r="114" spans="1:14">
      <c r="A114" s="180"/>
      <c r="B114" s="159"/>
      <c r="C114" s="149"/>
      <c r="D114" s="149"/>
      <c r="E114" s="149"/>
      <c r="F114" s="149">
        <f>Table1[[#This Row],[Money In]]-Table1[[#This Row],[Fee]]</f>
        <v>0</v>
      </c>
      <c r="G114" s="130">
        <f>C114-E114-Table1[[#This Row],[Fee]]</f>
        <v>0</v>
      </c>
      <c r="H114" s="85"/>
      <c r="I114" s="149"/>
      <c r="J114" s="130">
        <f>Table1[[#This Row],[Postage Quoted]]-Table1[[#This Row],[Postage]]</f>
        <v>0</v>
      </c>
      <c r="K114" s="86"/>
      <c r="L114" s="162"/>
    </row>
    <row r="115" spans="1:14">
      <c r="A115" s="180"/>
      <c r="B115" s="159"/>
      <c r="C115" s="149"/>
      <c r="D115" s="149"/>
      <c r="E115" s="149"/>
      <c r="F115" s="149">
        <f>Table1[[#This Row],[Money In]]-Table1[[#This Row],[Fee]]</f>
        <v>0</v>
      </c>
      <c r="G115" s="130">
        <f>C115-E115-Table1[[#This Row],[Fee]]</f>
        <v>0</v>
      </c>
      <c r="H115" s="85"/>
      <c r="I115" s="149"/>
      <c r="J115" s="130">
        <f>Table1[[#This Row],[Postage Quoted]]-Table1[[#This Row],[Postage]]</f>
        <v>0</v>
      </c>
      <c r="K115" s="86"/>
      <c r="L115" s="162"/>
    </row>
    <row r="116" spans="1:14">
      <c r="A116" s="180"/>
      <c r="B116" s="159"/>
      <c r="C116" s="149"/>
      <c r="D116" s="149"/>
      <c r="E116" s="149"/>
      <c r="F116" s="149">
        <f>Table1[[#This Row],[Money In]]-Table1[[#This Row],[Fee]]</f>
        <v>0</v>
      </c>
      <c r="G116" s="130">
        <f>C116-E116-Table1[[#This Row],[Fee]]</f>
        <v>0</v>
      </c>
      <c r="H116" s="85"/>
      <c r="I116" s="149"/>
      <c r="J116" s="130">
        <f>Table1[[#This Row],[Postage Quoted]]-Table1[[#This Row],[Postage]]</f>
        <v>0</v>
      </c>
      <c r="K116" s="86"/>
      <c r="L116" s="162"/>
    </row>
    <row r="117" spans="1:14">
      <c r="A117" s="180"/>
      <c r="B117" s="159"/>
      <c r="C117" s="149"/>
      <c r="D117" s="149"/>
      <c r="E117" s="149"/>
      <c r="F117" s="149">
        <f>Table1[[#This Row],[Money In]]-Table1[[#This Row],[Fee]]</f>
        <v>0</v>
      </c>
      <c r="G117" s="130">
        <f>C117-E117-Table1[[#This Row],[Fee]]</f>
        <v>0</v>
      </c>
      <c r="H117" s="85"/>
      <c r="I117" s="149"/>
      <c r="J117" s="130">
        <f>Table1[[#This Row],[Postage Quoted]]-Table1[[#This Row],[Postage]]</f>
        <v>0</v>
      </c>
      <c r="K117" s="86"/>
      <c r="L117" s="162"/>
    </row>
    <row r="118" spans="1:14">
      <c r="A118" s="180"/>
      <c r="B118" s="159"/>
      <c r="C118" s="149"/>
      <c r="D118" s="149"/>
      <c r="E118" s="149"/>
      <c r="F118" s="149">
        <f>Table1[[#This Row],[Money In]]-Table1[[#This Row],[Fee]]</f>
        <v>0</v>
      </c>
      <c r="G118" s="130">
        <f>C118-E118-Table1[[#This Row],[Fee]]</f>
        <v>0</v>
      </c>
      <c r="H118" s="85"/>
      <c r="I118" s="149"/>
      <c r="J118" s="130">
        <f>Table1[[#This Row],[Postage Quoted]]-Table1[[#This Row],[Postage]]</f>
        <v>0</v>
      </c>
      <c r="K118" s="86"/>
      <c r="L118" s="162"/>
    </row>
    <row r="119" spans="1:14">
      <c r="A119" s="180"/>
      <c r="B119" s="159"/>
      <c r="C119" s="149"/>
      <c r="D119" s="149"/>
      <c r="E119" s="149"/>
      <c r="F119" s="149">
        <f>Table1[[#This Row],[Money In]]-Table1[[#This Row],[Fee]]</f>
        <v>0</v>
      </c>
      <c r="G119" s="130">
        <f>C119-E119-Table1[[#This Row],[Fee]]</f>
        <v>0</v>
      </c>
      <c r="H119" s="85"/>
      <c r="I119" s="149"/>
      <c r="J119" s="130">
        <f>Table1[[#This Row],[Postage Quoted]]-Table1[[#This Row],[Postage]]</f>
        <v>0</v>
      </c>
      <c r="K119" s="86"/>
      <c r="L119" s="162"/>
    </row>
    <row r="120" spans="1:14">
      <c r="A120" s="180"/>
      <c r="B120" s="159"/>
      <c r="C120" s="149"/>
      <c r="D120" s="149"/>
      <c r="E120" s="149"/>
      <c r="F120" s="149">
        <f>Table1[[#This Row],[Money In]]-Table1[[#This Row],[Fee]]</f>
        <v>0</v>
      </c>
      <c r="G120" s="130">
        <f>C120-E120-Table1[[#This Row],[Fee]]</f>
        <v>0</v>
      </c>
      <c r="H120" s="85"/>
      <c r="I120" s="149"/>
      <c r="J120" s="130">
        <f>Table1[[#This Row],[Postage Quoted]]-Table1[[#This Row],[Postage]]</f>
        <v>0</v>
      </c>
      <c r="K120" s="86"/>
      <c r="L120" s="162"/>
    </row>
    <row r="121" spans="1:14">
      <c r="A121" s="180"/>
      <c r="B121" s="159"/>
      <c r="C121" s="149"/>
      <c r="D121" s="149"/>
      <c r="E121" s="149"/>
      <c r="F121" s="149">
        <f>Table1[[#This Row],[Money In]]-Table1[[#This Row],[Fee]]</f>
        <v>0</v>
      </c>
      <c r="G121" s="130">
        <f>C121-E121-Table1[[#This Row],[Fee]]</f>
        <v>0</v>
      </c>
      <c r="H121" s="85"/>
      <c r="I121" s="149"/>
      <c r="J121" s="130">
        <f>Table1[[#This Row],[Postage Quoted]]-Table1[[#This Row],[Postage]]</f>
        <v>0</v>
      </c>
      <c r="K121" s="86"/>
      <c r="L121" s="162"/>
    </row>
    <row r="122" spans="1:14">
      <c r="A122" s="180"/>
      <c r="B122" s="159"/>
      <c r="C122" s="149"/>
      <c r="D122" s="149"/>
      <c r="E122" s="149"/>
      <c r="F122" s="149">
        <f>Table1[[#This Row],[Money In]]-Table1[[#This Row],[Fee]]</f>
        <v>0</v>
      </c>
      <c r="G122" s="130">
        <f>C122-E122-Table1[[#This Row],[Fee]]</f>
        <v>0</v>
      </c>
      <c r="H122" s="85"/>
      <c r="I122" s="149"/>
      <c r="J122" s="130">
        <f>Table1[[#This Row],[Postage Quoted]]-Table1[[#This Row],[Postage]]</f>
        <v>0</v>
      </c>
      <c r="K122" s="86"/>
      <c r="L122" s="162"/>
    </row>
    <row r="123" spans="1:14">
      <c r="A123" s="148"/>
      <c r="B123" s="159"/>
      <c r="C123" s="149"/>
      <c r="D123" s="149"/>
      <c r="E123" s="149"/>
      <c r="F123" s="149">
        <f>Table1[[#This Row],[Money In]]-Table1[[#This Row],[Fee]]</f>
        <v>0</v>
      </c>
      <c r="G123" s="130">
        <f>Table1[[#This Row],[Money In]]-Table1[[#This Row],[Postage]]-Table1[[#This Row],[Fee]]</f>
        <v>0</v>
      </c>
      <c r="H123" s="148"/>
      <c r="I123" s="149"/>
      <c r="J123" s="130">
        <f>Table1[[#This Row],[Postage Quoted]]-Table1[[#This Row],[Postage]]</f>
        <v>0</v>
      </c>
      <c r="K123" s="86"/>
      <c r="L123" s="162"/>
      <c r="N123" s="84"/>
    </row>
    <row r="124" spans="1:14" ht="14.5" thickBot="1"/>
    <row r="125" spans="1:14" ht="14.5" thickBot="1">
      <c r="A125" s="163"/>
      <c r="B125" s="163" t="s">
        <v>343</v>
      </c>
      <c r="C125" s="164">
        <f>SUM(C2:C123)</f>
        <v>2343.1900000000005</v>
      </c>
      <c r="D125" s="164">
        <f>SUM(D2:D123)</f>
        <v>197.49999999999991</v>
      </c>
      <c r="E125" s="164">
        <f>SUM(E2:E123)</f>
        <v>419.30999999999949</v>
      </c>
      <c r="F125" s="164">
        <f>SUM(F2:F123)</f>
        <v>2145.6900000000005</v>
      </c>
      <c r="G125" s="164">
        <f>SUM(G2:G123)</f>
        <v>1726.3799999999999</v>
      </c>
      <c r="H125" s="165"/>
      <c r="I125" s="164">
        <f>SUM(I2:I123)</f>
        <v>497.21999999999946</v>
      </c>
      <c r="J125" s="166">
        <f>SUM(J2:J123)</f>
        <v>77.91</v>
      </c>
      <c r="K125" s="155">
        <f>SUMIF(K2:K123,"N",E2:E123)</f>
        <v>0</v>
      </c>
      <c r="L125" s="155">
        <f>SUMIF(L2:L123,"N",F2:F123)</f>
        <v>0</v>
      </c>
      <c r="M125" s="155"/>
    </row>
    <row r="126" spans="1:14" ht="14.5" thickBot="1"/>
    <row r="127" spans="1:14" ht="14.5" thickBot="1">
      <c r="B127" s="164" t="s">
        <v>213</v>
      </c>
      <c r="C127" s="164"/>
      <c r="D127" s="164"/>
      <c r="E127" s="164" t="s">
        <v>215</v>
      </c>
      <c r="F127"/>
    </row>
    <row r="128" spans="1:14">
      <c r="B128" s="167">
        <v>45132</v>
      </c>
      <c r="C128" s="87"/>
      <c r="D128" s="87"/>
      <c r="E128" s="87">
        <v>76</v>
      </c>
      <c r="F128"/>
    </row>
    <row r="129" spans="2:10">
      <c r="B129" s="154">
        <v>45135</v>
      </c>
      <c r="C129" s="87"/>
      <c r="D129" s="87"/>
      <c r="E129" s="87">
        <v>30</v>
      </c>
      <c r="F129"/>
    </row>
    <row r="130" spans="2:10">
      <c r="B130" s="154">
        <v>45140</v>
      </c>
      <c r="C130" s="87"/>
      <c r="D130" s="87"/>
      <c r="E130" s="87">
        <v>91.18</v>
      </c>
      <c r="F130"/>
    </row>
    <row r="131" spans="2:10">
      <c r="B131" s="17" t="s">
        <v>344</v>
      </c>
      <c r="C131" s="87"/>
      <c r="D131" s="87"/>
      <c r="E131" s="87">
        <v>16.920000000000002</v>
      </c>
      <c r="F131"/>
    </row>
    <row r="132" spans="2:10">
      <c r="B132" s="154">
        <v>45144</v>
      </c>
      <c r="C132" s="87"/>
      <c r="D132" s="87"/>
      <c r="E132" s="87">
        <v>67.040000000000006</v>
      </c>
      <c r="F132"/>
    </row>
    <row r="133" spans="2:10" ht="14.5" thickBot="1">
      <c r="B133" s="154">
        <v>45147</v>
      </c>
      <c r="C133" s="87"/>
      <c r="D133" s="87"/>
      <c r="E133" s="87">
        <v>96.18</v>
      </c>
      <c r="F133"/>
      <c r="I133" s="160"/>
    </row>
    <row r="134" spans="2:10" ht="14.5" thickBot="1">
      <c r="B134" s="86"/>
      <c r="C134" s="87"/>
      <c r="D134" s="87"/>
      <c r="E134" s="87"/>
      <c r="F134"/>
      <c r="H134" s="173" t="s">
        <v>345</v>
      </c>
      <c r="I134" s="171">
        <v>35</v>
      </c>
      <c r="J134" s="173" t="s">
        <v>6</v>
      </c>
    </row>
    <row r="135" spans="2:10" ht="14.5" thickBot="1">
      <c r="B135" s="86"/>
      <c r="C135" s="87"/>
      <c r="D135" s="87"/>
      <c r="E135" s="87"/>
      <c r="F135"/>
      <c r="H135" s="176" t="s">
        <v>346</v>
      </c>
      <c r="I135" s="87">
        <v>56</v>
      </c>
      <c r="J135" s="177" t="s">
        <v>228</v>
      </c>
    </row>
    <row r="136" spans="2:10" ht="14.5" thickBot="1">
      <c r="B136" s="164" t="s">
        <v>347</v>
      </c>
      <c r="C136" s="164"/>
      <c r="D136" s="164"/>
      <c r="E136" s="164">
        <f>SUM(E128:E135)-E125</f>
        <v>-41.989999999999441</v>
      </c>
      <c r="F136"/>
      <c r="H136" s="176" t="s">
        <v>348</v>
      </c>
      <c r="I136" s="87">
        <v>66</v>
      </c>
      <c r="J136" s="177" t="s">
        <v>228</v>
      </c>
    </row>
    <row r="137" spans="2:10">
      <c r="H137" s="176" t="s">
        <v>349</v>
      </c>
      <c r="I137" s="87">
        <v>10</v>
      </c>
      <c r="J137" s="177" t="s">
        <v>228</v>
      </c>
    </row>
    <row r="138" spans="2:10">
      <c r="H138" s="178" t="s">
        <v>346</v>
      </c>
      <c r="I138" s="87">
        <v>350</v>
      </c>
      <c r="J138" s="177" t="s">
        <v>228</v>
      </c>
    </row>
    <row r="139" spans="2:10">
      <c r="B139" s="128" t="s">
        <v>350</v>
      </c>
      <c r="H139" s="176" t="s">
        <v>351</v>
      </c>
      <c r="I139" s="87">
        <v>189</v>
      </c>
      <c r="J139" s="177" t="s">
        <v>228</v>
      </c>
    </row>
    <row r="140" spans="2:10">
      <c r="H140" s="176" t="s">
        <v>352</v>
      </c>
      <c r="I140" s="87">
        <v>521.53</v>
      </c>
      <c r="J140" s="177" t="s">
        <v>228</v>
      </c>
    </row>
    <row r="141" spans="2:10">
      <c r="H141" s="176" t="s">
        <v>353</v>
      </c>
      <c r="I141" s="87">
        <v>28</v>
      </c>
      <c r="J141" s="177" t="s">
        <v>228</v>
      </c>
    </row>
    <row r="142" spans="2:10">
      <c r="H142" s="176" t="s">
        <v>353</v>
      </c>
      <c r="I142" s="149">
        <v>42</v>
      </c>
      <c r="J142" s="183" t="s">
        <v>228</v>
      </c>
    </row>
    <row r="143" spans="2:10">
      <c r="H143" s="176" t="s">
        <v>354</v>
      </c>
      <c r="I143" s="149">
        <v>110</v>
      </c>
      <c r="J143" s="183" t="s">
        <v>228</v>
      </c>
    </row>
    <row r="144" spans="2:10">
      <c r="H144" s="176" t="s">
        <v>355</v>
      </c>
      <c r="I144" s="149">
        <v>10</v>
      </c>
      <c r="J144" s="183" t="s">
        <v>341</v>
      </c>
    </row>
    <row r="145" spans="8:11">
      <c r="H145" s="176" t="s">
        <v>351</v>
      </c>
      <c r="I145" s="149">
        <v>189</v>
      </c>
      <c r="J145" s="183" t="s">
        <v>228</v>
      </c>
    </row>
    <row r="146" spans="8:11">
      <c r="H146" s="176" t="s">
        <v>356</v>
      </c>
      <c r="I146" s="149">
        <v>35</v>
      </c>
      <c r="J146" s="183" t="s">
        <v>357</v>
      </c>
    </row>
    <row r="147" spans="8:11" ht="14.5" thickBot="1">
      <c r="H147" s="184" t="s">
        <v>358</v>
      </c>
      <c r="I147" s="185">
        <v>70</v>
      </c>
      <c r="J147" s="186" t="s">
        <v>228</v>
      </c>
      <c r="K147" s="84"/>
    </row>
    <row r="148" spans="8:11" ht="14.5" thickBot="1">
      <c r="H148" s="174" t="s">
        <v>359</v>
      </c>
      <c r="I148" s="175">
        <f>SUMIF(J135:J147,"N",I135:I147)</f>
        <v>35</v>
      </c>
    </row>
    <row r="149" spans="8:11" ht="14.5" thickBot="1">
      <c r="H149" s="172" t="s">
        <v>360</v>
      </c>
      <c r="I149" s="171">
        <f>I134-I148</f>
        <v>0</v>
      </c>
    </row>
  </sheetData>
  <conditionalFormatting sqref="F137:F1048576 F126 F1:F1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2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H2" r:id="rId1" display="https://www.ebay.co.uk/mesh/ord/details?orderid=22-10295-91696&amp;redirect=true" xr:uid="{00000000-0004-0000-1E00-000000000000}"/>
    <hyperlink ref="H5" r:id="rId2" display="https://www.ebay.co.uk/mesh/ord/details?orderid=06-10310-46749&amp;redirect=true" xr:uid="{00000000-0004-0000-1E00-000001000000}"/>
    <hyperlink ref="H4" r:id="rId3" display="https://www.ebay.co.uk/mesh/ord/details?orderid=08-10311-98879&amp;redirect=true" xr:uid="{00000000-0004-0000-1E00-000002000000}"/>
    <hyperlink ref="H7" r:id="rId4" display="https://www.ebay.co.uk/mesh/ord/details?orderid=14-10314-34577&amp;redirect=true" xr:uid="{00000000-0004-0000-1E00-000003000000}"/>
    <hyperlink ref="H6" r:id="rId5" display="https://www.ebay.co.uk/mesh/ord/details?orderid=17-10313-99158&amp;redirect=true" xr:uid="{00000000-0004-0000-1E00-000004000000}"/>
    <hyperlink ref="H8" r:id="rId6" display="https://www.ebay.co.uk/mesh/ord/details?orderid=07-10319-66510&amp;redirect=true" xr:uid="{00000000-0004-0000-1E00-000005000000}"/>
    <hyperlink ref="H9" r:id="rId7" display="https://www.ebay.co.uk/mesh/ord/details?orderid=20-10315-62292&amp;redirect=true" xr:uid="{00000000-0004-0000-1E00-000006000000}"/>
    <hyperlink ref="H11" r:id="rId8" display="https://www.ebay.co.uk/mesh/ord/details?orderid=16-10321-03220&amp;redirect=true" xr:uid="{00000000-0004-0000-1E00-000007000000}"/>
    <hyperlink ref="H13" r:id="rId9" display="https://www.ebay.co.uk/mesh/ord/details?orderid=18-10320-50038&amp;redirect=true" xr:uid="{00000000-0004-0000-1E00-000008000000}"/>
    <hyperlink ref="H12" r:id="rId10" display="https://www.ebay.co.uk/mesh/ord/details?orderid=26-10316-26662&amp;redirect=true" xr:uid="{00000000-0004-0000-1E00-000009000000}"/>
    <hyperlink ref="H20" r:id="rId11" display="https://www.ebay.co.uk/mesh/ord/details?orderid=07-10329-85542&amp;redirect=true" xr:uid="{00000000-0004-0000-1E00-00000A000000}"/>
    <hyperlink ref="H22" r:id="rId12" display="https://www.ebay.co.uk/mesh/ord/details?orderid=23-10321-36932&amp;redirect=true" xr:uid="{00000000-0004-0000-1E00-00000B000000}"/>
    <hyperlink ref="H30" r:id="rId13" display="https://www.ebay.co.uk/mesh/ord/details?orderid=03-10331-90184&amp;redirect=true" xr:uid="{00000000-0004-0000-1E00-00000C000000}"/>
    <hyperlink ref="H18" r:id="rId14" display="https://www.ebay.co.uk/mesh/ord/details?orderid=04-10331-67811&amp;redirect=true" xr:uid="{00000000-0004-0000-1E00-00000D000000}"/>
    <hyperlink ref="H31" r:id="rId15" display="https://www.ebay.co.uk/mesh/ord/details?orderid=26-10320-27912&amp;redirect=true" xr:uid="{00000000-0004-0000-1E00-00000E000000}"/>
    <hyperlink ref="H16" r:id="rId16" display="https://www.ebay.co.uk/mesh/ord/details?orderid=27-10320-19931&amp;redirect=true" xr:uid="{00000000-0004-0000-1E00-00000F000000}"/>
    <hyperlink ref="H15" r:id="rId17" display="https://www.ebay.co.uk/mesh/ord/details?orderid=09-10329-58582&amp;redirect=true" xr:uid="{00000000-0004-0000-1E00-000010000000}"/>
    <hyperlink ref="H23" r:id="rId18" display="https://www.ebay.co.uk/mesh/ord/details?orderid=21-10323-35641&amp;redirect=true" xr:uid="{00000000-0004-0000-1E00-000011000000}"/>
    <hyperlink ref="H21" r:id="rId19" display="https://www.ebay.co.uk/mesh/ord/details?orderid=10-10329-41212&amp;redirect=true" xr:uid="{00000000-0004-0000-1E00-000012000000}"/>
    <hyperlink ref="H14" r:id="rId20" display="https://www.ebay.co.uk/mesh/ord/details?orderid=22-10323-18881&amp;redirect=true" xr:uid="{00000000-0004-0000-1E00-000013000000}"/>
    <hyperlink ref="H19" r:id="rId21" display="https://www.ebay.co.uk/mesh/ord/details?orderid=18-10326-80117&amp;redirect=true" xr:uid="{00000000-0004-0000-1E00-000014000000}"/>
    <hyperlink ref="H10" r:id="rId22" display="https://www.ebay.co.uk/mesh/ord/details?orderid=20-10325-73330&amp;redirect=true" xr:uid="{00000000-0004-0000-1E00-000015000000}"/>
    <hyperlink ref="H17" r:id="rId23" display="https://www.ebay.co.uk/mesh/ord/details?orderid=21-10326-03223&amp;redirect=true" xr:uid="{00000000-0004-0000-1E00-000016000000}"/>
    <hyperlink ref="H24" r:id="rId24" display="https://www.ebay.co.uk/mesh/ord/details?orderid=25-10329-62668&amp;redirect=true" xr:uid="{00000000-0004-0000-1E00-000017000000}"/>
    <hyperlink ref="H26" r:id="rId25" display="https://www.ebay.co.uk/mesh/ord/details?orderid=13-10337-83106&amp;redirect=true" xr:uid="{00000000-0004-0000-1E00-000018000000}"/>
    <hyperlink ref="H32" r:id="rId26" display="https://www.ebay.co.uk/mesh/ord/details?orderid=21-10333-49006&amp;redirect=true" xr:uid="{00000000-0004-0000-1E00-000019000000}"/>
    <hyperlink ref="H29" r:id="rId27" display="https://www.ebay.co.uk/mesh/ord/details?orderid=01-10344-04995&amp;redirect=true" xr:uid="{00000000-0004-0000-1E00-00001A000000}"/>
    <hyperlink ref="H25" r:id="rId28" display="https://www.ebay.co.uk/mesh/ord/details?orderid=24-10346-79985&amp;redirect=true" xr:uid="{00000000-0004-0000-1E00-00001B000000}"/>
    <hyperlink ref="H28" r:id="rId29" display="https://www.ebay.co.uk/mesh/ord/details?orderid=27-10330-99713&amp;redirect=true" xr:uid="{00000000-0004-0000-1E00-00001C000000}"/>
    <hyperlink ref="H27" r:id="rId30" display="https://www.ebay.co.uk/mesh/ord/details?orderid=02-10346-16409&amp;redirect=true" xr:uid="{00000000-0004-0000-1E00-00001D000000}"/>
    <hyperlink ref="H35" r:id="rId31" display="https://www.ebay.co.uk/mesh/ord/details?orderid=16-10339-79168&amp;redirect=true" xr:uid="{00000000-0004-0000-1E00-00001E000000}"/>
    <hyperlink ref="H33" r:id="rId32" display="https://www.ebay.co.uk/mesh/ord/details?orderid=04-10346-46897&amp;redirect=true" xr:uid="{00000000-0004-0000-1E00-00001F000000}"/>
    <hyperlink ref="H40" r:id="rId33" display="https://www.ebay.co.uk/mesh/ord/details?orderid=21-10337-29741&amp;redirect=true" xr:uid="{00000000-0004-0000-1E00-000020000000}"/>
    <hyperlink ref="H37" r:id="rId34" display="https://www.ebay.co.uk/mesh/ord/details?orderid=13-10341-86716&amp;redirect=true" xr:uid="{00000000-0004-0000-1E00-000021000000}"/>
    <hyperlink ref="H42" r:id="rId35" display="https://www.ebay.co.uk/mesh/ord/details?orderid=02-10347-82962&amp;redirect=true" xr:uid="{00000000-0004-0000-1E00-000022000000}"/>
    <hyperlink ref="H39" r:id="rId36" display="https://www.ebay.co.uk/mesh/ord/details?orderid=04-10346-70850&amp;redirect=true" xr:uid="{00000000-0004-0000-1E00-000023000000}"/>
    <hyperlink ref="H34" r:id="rId37" display="https://www.ebay.co.uk/mesh/ord/details?orderid=12-10342-55854&amp;redirect=true" xr:uid="{00000000-0004-0000-1E00-000024000000}"/>
    <hyperlink ref="H38" r:id="rId38" display="https://www.ebay.co.uk/mesh/ord/details?orderid=13-10342-77004&amp;redirect=true" xr:uid="{00000000-0004-0000-1E00-000025000000}"/>
    <hyperlink ref="H43" r:id="rId39" display="https://www.ebay.co.uk/mesh/ord/details?orderid=15-10342-21810&amp;redirect=true" xr:uid="{00000000-0004-0000-1E00-000026000000}"/>
    <hyperlink ref="H36" r:id="rId40" display="https://www.ebay.co.uk/mesh/ord/details?orderid=18-10341-04526&amp;redirect=true" xr:uid="{00000000-0004-0000-1E00-000027000000}"/>
    <hyperlink ref="H44" r:id="rId41" display="https://www.ebay.co.uk/mesh/ord/details?orderid=12-10346-95558&amp;redirect=true" xr:uid="{00000000-0004-0000-1E00-000028000000}"/>
    <hyperlink ref="H45" r:id="rId42" display="https://www.ebay.co.uk/mesh/ord/details?orderid=15-10347-14153&amp;redirect=true" xr:uid="{00000000-0004-0000-1E00-000029000000}"/>
    <hyperlink ref="H47" r:id="rId43" display="https://www.ebay.co.uk/mesh/ord/details?orderid=23-10344-68034&amp;redirect=true" xr:uid="{00000000-0004-0000-1E00-00002A000000}"/>
    <hyperlink ref="H41" r:id="rId44" display="https://www.ebay.co.uk/mesh/ord/details?orderid=19-10346-90748&amp;redirect=true" xr:uid="{00000000-0004-0000-1E00-00002B000000}"/>
    <hyperlink ref="H49" r:id="rId45" display="https://www.ebay.co.uk/mesh/ord/details?orderid=24-10358-88599&amp;redirect=true" xr:uid="{00000000-0004-0000-1E00-00002C000000}"/>
    <hyperlink ref="H50" r:id="rId46" display="https://www.ebay.co.uk/mesh/ord/details?orderid=09-10352-26885&amp;redirect=true" xr:uid="{00000000-0004-0000-1E00-00002D000000}"/>
    <hyperlink ref="H48" r:id="rId47" display="https://www.ebay.co.uk/mesh/ord/details?orderid=24-10358-94554&amp;redirect=true" xr:uid="{00000000-0004-0000-1E00-00002E000000}"/>
    <hyperlink ref="H52" r:id="rId48" display="https://www.ebay.co.uk/mesh/ord/details?orderid=26-10343-38470&amp;redirect=true" xr:uid="{00000000-0004-0000-1E00-00002F000000}"/>
    <hyperlink ref="H46" r:id="rId49" display="https://www.ebay.co.uk/mesh/ord/details?orderid=23-10345-13158&amp;redirect=true" xr:uid="{00000000-0004-0000-1E00-000030000000}"/>
    <hyperlink ref="H53" r:id="rId50" display="https://www.ebay.co.uk/mesh/ord/details?orderid=27-10343-40872&amp;redirect=true" xr:uid="{00000000-0004-0000-1E00-000031000000}"/>
    <hyperlink ref="H54" r:id="rId51" display="https://www.ebay.co.uk/mesh/ord/details?itemid=305038338553&amp;transid=0" xr:uid="{00000000-0004-0000-1E00-000032000000}"/>
    <hyperlink ref="H51" r:id="rId52" display="https://www.ebay.co.uk/mesh/ord/details?orderid=20-10348-59254&amp;redirect=true" xr:uid="{00000000-0004-0000-1E00-000033000000}"/>
    <hyperlink ref="H55" r:id="rId53" display="https://www.ebay.co.uk/mesh/ord/details?orderid=17-10350-26287&amp;redirect=true" xr:uid="{00000000-0004-0000-1E00-000034000000}"/>
    <hyperlink ref="H56" r:id="rId54" display="https://www.ebay.co.uk/mesh/ord/details?orderid=01-10359-09613&amp;redirect=true" xr:uid="{00000000-0004-0000-1E00-000035000000}"/>
    <hyperlink ref="H57" r:id="rId55" display="https://www.ebay.co.uk/mesh/ord/details?orderid=25-10346-72179&amp;redirect=true" xr:uid="{00000000-0004-0000-1E00-000036000000}"/>
    <hyperlink ref="H58" r:id="rId56" display="https://www.ebay.co.uk/mesh/ord/details?orderid=18-10351-55277&amp;redirect=true" xr:uid="{00000000-0004-0000-1E00-000037000000}"/>
    <hyperlink ref="H59" r:id="rId57" display="https://www.ebay.co.uk/mesh/ord/details?orderid=15-10354-46618&amp;redirect=true" xr:uid="{00000000-0004-0000-1E00-000038000000}"/>
    <hyperlink ref="H3" r:id="rId58" display="https://www.ebay.co.uk/mesh/ord/details?orderid=13-10302-89189&amp;redirect=true" xr:uid="{00000000-0004-0000-1E00-000039000000}"/>
    <hyperlink ref="H60" r:id="rId59" display="https://www.ebay.co.uk/mesh/ord/details?orderid=14-10357-70928&amp;mode=ME" xr:uid="{00000000-0004-0000-1E00-00003A000000}"/>
    <hyperlink ref="H61" r:id="rId60" display="https://www.ebay.co.uk/mesh/ord/details?orderid=09-10361-10183&amp;mode=ME" xr:uid="{00000000-0004-0000-1E00-00003B000000}"/>
    <hyperlink ref="H64" r:id="rId61" display="https://www.ebay.co.uk/mesh/ord/details?orderid=26-10358-13751&amp;mode=ME" xr:uid="{00000000-0004-0000-1E00-00003C000000}"/>
    <hyperlink ref="H63" r:id="rId62" display="https://www.ebay.co.uk/mesh/ord/details?orderid=05-10369-80419&amp;mode=ME" xr:uid="{00000000-0004-0000-1E00-00003D000000}"/>
    <hyperlink ref="H62" r:id="rId63" display="https://www.ebay.co.uk/mesh/ord/details?orderid=06-10368-88093&amp;mode=ME" xr:uid="{00000000-0004-0000-1E00-00003E000000}"/>
    <hyperlink ref="H69" r:id="rId64" display="https://www.ebay.co.uk/mesh/ord/details?orderid=24-10378-98924&amp;redirect=true" xr:uid="{00000000-0004-0000-1E00-00003F000000}"/>
    <hyperlink ref="H66" r:id="rId65" display="https://www.ebay.co.uk/mesh/ord/details?orderid=21-10366-21724&amp;redirect=true" xr:uid="{00000000-0004-0000-1E00-000040000000}"/>
    <hyperlink ref="H70" r:id="rId66" display="https://www.ebay.co.uk/mesh/ord/details?orderid=13-10370-85891&amp;redirect=true" xr:uid="{00000000-0004-0000-1E00-000041000000}"/>
    <hyperlink ref="H67" r:id="rId67" display="https://www.ebay.co.uk/mesh/ord/details?orderid=24-10380-07668&amp;mode=ME" xr:uid="{00000000-0004-0000-1E00-000042000000}"/>
    <hyperlink ref="H65" r:id="rId68" display="https://www.ebay.co.uk/mesh/ord/details?orderid=21-10367-06577" xr:uid="{00000000-0004-0000-1E00-000043000000}"/>
    <hyperlink ref="H68" r:id="rId69" display="https://www.ebay.co.uk/mesh/ord/details?orderid=25-10365-17707&amp;mode=ME" xr:uid="{00000000-0004-0000-1E00-000044000000}"/>
    <hyperlink ref="H71" r:id="rId70" display="https://www.ebay.co.uk/mesh/ord/details?orderid=26-10366-17601&amp;mode=ME" xr:uid="{00000000-0004-0000-1E00-000045000000}"/>
    <hyperlink ref="H73" r:id="rId71" display="https://www.ebay.co.uk/mesh/ord/details?orderid=18-10370-67330&amp;mode=ME" xr:uid="{00000000-0004-0000-1E00-000046000000}"/>
    <hyperlink ref="H72" r:id="rId72" display="https://www.ebay.co.uk/mesh/ord/details?orderid=11-10374-22307&amp;mode=ME" xr:uid="{00000000-0004-0000-1E00-000047000000}"/>
    <hyperlink ref="H76" r:id="rId73" display="https://www.ebay.co.uk/mesh/ord/details?orderid=10-10374-93517&amp;mode=ME" xr:uid="{00000000-0004-0000-1E00-000048000000}"/>
    <hyperlink ref="H74" r:id="rId74" display="https://www.ebay.co.uk/mesh/ord/details?itemid=305047421494&amp;transid=0&amp;redirect=true" xr:uid="{00000000-0004-0000-1E00-000049000000}"/>
    <hyperlink ref="H75" r:id="rId75" display="https://www.ebay.co.uk/mesh/ord/details?orderid=305047429673-0&amp;mode=ME" xr:uid="{00000000-0004-0000-1E00-00004A000000}"/>
    <hyperlink ref="H78" r:id="rId76" display="https://www.ebay.co.uk/mesh/ord/details?orderid=24-10383-14827&amp;mode=ME" xr:uid="{00000000-0004-0000-1E00-00004B000000}"/>
    <hyperlink ref="H77" r:id="rId77" display="https://www.ebay.co.uk/mesh/ord/details?orderid=19-10373-92019&amp;mode=ME" xr:uid="{00000000-0004-0000-1E00-00004C000000}"/>
    <hyperlink ref="H82" r:id="rId78" display="https://www.ebay.co.uk/mesh/ord/details?orderid=11-10378-38869&amp;mode=ME" xr:uid="{00000000-0004-0000-1E00-00004D000000}"/>
    <hyperlink ref="H80" r:id="rId79" display="https://www.ebay.co.uk/mesh/ord/details?orderid=21-10373-09809&amp;mode=ME" xr:uid="{00000000-0004-0000-1E00-00004E000000}"/>
    <hyperlink ref="H81" r:id="rId80" display="https://www.ebay.co.uk/mesh/ord/details?orderid=13-10377-76539&amp;mode=ME" xr:uid="{00000000-0004-0000-1E00-00004F000000}"/>
    <hyperlink ref="H84" r:id="rId81" display="https://www.ebay.co.uk/mesh/ord/details?orderid=01-10384-26372&amp;mode=ME" xr:uid="{00000000-0004-0000-1E00-000050000000}"/>
    <hyperlink ref="H79" r:id="rId82" display="https://www.ebay.co.uk/mesh/ord/details?orderid=15-10376-39667&amp;mode=ME" xr:uid="{00000000-0004-0000-1E00-000051000000}"/>
    <hyperlink ref="H83" r:id="rId83" display="https://www.ebay.co.uk/mesh/ord/details?orderid=21-10374-28962&amp;mode=ME" xr:uid="{00000000-0004-0000-1E00-000052000000}"/>
    <hyperlink ref="H85" r:id="rId84" display="https://www.ebay.co.uk/mesh/ord/details?orderid=18-10378-21144&amp;mode=ME" xr:uid="{00000000-0004-0000-1E00-000053000000}"/>
    <hyperlink ref="H88" r:id="rId85" display="https://www.ebay.co.uk/mesh/ord/details?orderid=22-10376-26751&amp;mode=ME" xr:uid="{00000000-0004-0000-1E00-000054000000}"/>
    <hyperlink ref="H92" r:id="rId86" display="https://www.ebay.co.uk/mesh/ord/details?orderid=02-10387-25181&amp;mode=ME" xr:uid="{00000000-0004-0000-1E00-000055000000}"/>
    <hyperlink ref="H87" r:id="rId87" display="https://www.ebay.co.uk/mesh/ord/details?orderid=11-10382-14870&amp;redirect=true" xr:uid="{00000000-0004-0000-1E00-000056000000}"/>
    <hyperlink ref="H90" r:id="rId88" display="https://www.ebay.co.uk/mesh/ord/details?itemid=305050075871&amp;transid=0&amp;redirect=true" xr:uid="{00000000-0004-0000-1E00-000057000000}"/>
    <hyperlink ref="H95" r:id="rId89" display="https://www.ebay.co.uk/mesh/ord/details?itemid=305050231419&amp;transid=0" xr:uid="{00000000-0004-0000-1E00-000058000000}"/>
    <hyperlink ref="H93" r:id="rId90" display="https://www.ebay.co.uk/mesh/ord/details?itemid=305050564219&amp;transid=0" xr:uid="{00000000-0004-0000-1E00-000059000000}"/>
    <hyperlink ref="H86" r:id="rId91" display="https://www.ebay.co.uk/mesh/ord/details?itemid=305058520781&amp;transid=0" xr:uid="{00000000-0004-0000-1E00-00005A000000}"/>
    <hyperlink ref="H89" r:id="rId92" display="https://www.ebay.co.uk/mesh/ord/details?orderid=26-10376-78343&amp;mode=ME" xr:uid="{00000000-0004-0000-1E00-00005B000000}"/>
    <hyperlink ref="H94" r:id="rId93" display="https://www.ebay.co.uk/mesh/ord/details?orderid=19-10380-50802&amp;mode=ME" xr:uid="{00000000-0004-0000-1E00-00005C000000}"/>
    <hyperlink ref="H91" r:id="rId94" display="https://www.ebay.co.uk/mesh/ord/details?orderid=03-10388-88205&amp;mode=ME" xr:uid="{00000000-0004-0000-1E00-00005D000000}"/>
    <hyperlink ref="H96" r:id="rId95" display="https://www.ebay.co.uk/mesh/ord/details?orderid=13-10396-72314&amp;mode=ME" xr:uid="{00000000-0004-0000-1E00-00005E000000}"/>
    <hyperlink ref="H98" r:id="rId96" display="https://www.ebay.co.uk/mesh/ord/details?orderid=01-10405-73689&amp;redirect=true" xr:uid="{00000000-0004-0000-1E00-00005F000000}"/>
    <hyperlink ref="H99" r:id="rId97" display="https://www.ebay.co.uk/mesh/ord/details?orderid=10-10403-76719&amp;mode=ME" xr:uid="{00000000-0004-0000-1E00-000060000000}"/>
    <hyperlink ref="H97" r:id="rId98" display="https://www.ebay.co.uk/mesh/ord/details?orderid=09-10409-39486&amp;mode=ME" xr:uid="{00000000-0004-0000-1E00-000061000000}"/>
    <hyperlink ref="H100" r:id="rId99" display="https://www.ebay.co.uk/mesh/ord/details?orderid=11-10428-70357&amp;mode=ME" xr:uid="{00000000-0004-0000-1E00-000062000000}"/>
    <hyperlink ref="H101" r:id="rId100" display="https://www.ebay.co.uk/mesh/ord/details?orderid=24-10440-52050&amp;mode=ME" xr:uid="{00000000-0004-0000-1E00-000063000000}"/>
    <hyperlink ref="H102" r:id="rId101" display="https://www.ebay.co.uk/mesh/ord/details?orderid=05-10440-49185&amp;mode=ME" xr:uid="{00000000-0004-0000-1E00-000064000000}"/>
    <hyperlink ref="H103" r:id="rId102" display="https://www.ebay.co.uk/mesh/ord/details?orderid=18-10437-86870&amp;mode=ME" xr:uid="{00000000-0004-0000-1E00-000065000000}"/>
    <hyperlink ref="H105" r:id="rId103" display="https://www.ebay.co.uk/mesh/ord/details?orderid=07-10444-05903&amp;mode=ME" xr:uid="{00000000-0004-0000-1E00-000066000000}"/>
    <hyperlink ref="H104" r:id="rId104" display="https://www.ebay.co.uk/mesh/ord/details?orderid=22-10436-12870&amp;mode=ME" xr:uid="{00000000-0004-0000-1E00-000067000000}"/>
    <hyperlink ref="H107" r:id="rId105" display="https://www.ebay.co.uk/mesh/ord/details?orderid=15-10467-42059&amp;mode=ME" xr:uid="{00000000-0004-0000-1E00-000068000000}"/>
    <hyperlink ref="H108" r:id="rId106" display="https://www.ebay.co.uk/mesh/ord/details?orderid=04-10473-52845&amp;mode=ME" xr:uid="{00000000-0004-0000-1E00-000069000000}"/>
    <hyperlink ref="H109" r:id="rId107" display="https://www.ebay.co.uk/mesh/ord/details?orderid=11-10470-33456&amp;mode=ME" xr:uid="{00000000-0004-0000-1E00-00006A000000}"/>
    <hyperlink ref="H106" r:id="rId108" display="https://www.ebay.co.uk/mesh/ord/details?orderid=26-10478-76926&amp;mode=ME" xr:uid="{00000000-0004-0000-1E00-00006B000000}"/>
  </hyperlinks>
  <pageMargins left="0.7" right="0.7" top="0.75" bottom="0.75" header="0.3" footer="0.3"/>
  <pageSetup paperSize="9" orientation="portrait" r:id="rId109"/>
  <tableParts count="1">
    <tablePart r:id="rId110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7EB8-2BE6-44B6-9F90-4633F5B35FC9}">
  <sheetPr>
    <tabColor rgb="FFFF0000"/>
  </sheetPr>
  <dimension ref="A1:IS48"/>
  <sheetViews>
    <sheetView zoomScale="160" zoomScaleNormal="160" workbookViewId="0">
      <selection activeCell="D10" sqref="D10"/>
    </sheetView>
  </sheetViews>
  <sheetFormatPr defaultColWidth="0" defaultRowHeight="14.5"/>
  <cols>
    <col min="1" max="2" width="1.08203125" style="3" customWidth="1"/>
    <col min="3" max="3" width="23.5" style="1" bestFit="1" customWidth="1"/>
    <col min="4" max="4" width="17.5" style="3" customWidth="1"/>
    <col min="5" max="5" width="1.08203125" style="2" customWidth="1"/>
    <col min="6" max="6" width="17" style="3" bestFit="1" customWidth="1"/>
    <col min="7" max="7" width="0.58203125" style="3" customWidth="1"/>
    <col min="8" max="8" width="1.08203125" style="3" customWidth="1"/>
    <col min="9" max="9" width="20.58203125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3" width="0" style="3" hidden="1"/>
    <col min="16384" max="16384" width="0" style="3" hidden="1" customWidth="1"/>
  </cols>
  <sheetData>
    <row r="1" spans="3:12" ht="9" customHeight="1" thickBot="1">
      <c r="C1" s="31"/>
      <c r="E1" s="32"/>
      <c r="F1"/>
    </row>
    <row r="2" spans="3:12" ht="15" thickBot="1">
      <c r="C2" s="106" t="s">
        <v>0</v>
      </c>
      <c r="D2" s="31"/>
      <c r="E2" s="3"/>
      <c r="F2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19">
        <v>4700</v>
      </c>
      <c r="E3" s="3"/>
      <c r="F3"/>
      <c r="I3" s="124" t="s">
        <v>7</v>
      </c>
      <c r="J3" s="125">
        <v>-1268</v>
      </c>
      <c r="K3" s="124" t="s">
        <v>8</v>
      </c>
      <c r="L3" s="12"/>
    </row>
    <row r="4" spans="3:12">
      <c r="C4" s="187" t="s">
        <v>9</v>
      </c>
      <c r="D4" s="192">
        <f>SUMIF(K3:K29,"Yes*",J3:J29)</f>
        <v>0</v>
      </c>
      <c r="E4" s="3"/>
      <c r="F4"/>
      <c r="I4" s="124" t="s">
        <v>49</v>
      </c>
      <c r="J4" s="125">
        <v>-850</v>
      </c>
      <c r="K4" s="124" t="s">
        <v>8</v>
      </c>
      <c r="L4" s="12" t="s">
        <v>11</v>
      </c>
    </row>
    <row r="5" spans="3:12">
      <c r="C5" s="104" t="s">
        <v>12</v>
      </c>
      <c r="D5" s="119">
        <v>5171</v>
      </c>
      <c r="E5" s="3"/>
      <c r="F5"/>
      <c r="H5" s="9"/>
      <c r="I5" s="124" t="s">
        <v>33</v>
      </c>
      <c r="J5" s="125">
        <v>-225</v>
      </c>
      <c r="K5" s="124" t="s">
        <v>8</v>
      </c>
      <c r="L5" s="12"/>
    </row>
    <row r="6" spans="3:12" ht="15" thickBot="1">
      <c r="C6" s="189" t="s">
        <v>15</v>
      </c>
      <c r="D6" s="196">
        <f>SUMIF(K3:K48,"No",J3:J48)</f>
        <v>-2890.7</v>
      </c>
      <c r="E6" s="3"/>
      <c r="F6"/>
      <c r="I6" s="124" t="s">
        <v>24</v>
      </c>
      <c r="J6" s="125">
        <v>-173</v>
      </c>
      <c r="K6" s="124" t="s">
        <v>8</v>
      </c>
      <c r="L6" s="12"/>
    </row>
    <row r="7" spans="3:12" ht="15" thickBot="1">
      <c r="C7" s="28" t="s">
        <v>18</v>
      </c>
      <c r="D7" s="121">
        <f>D6+D5</f>
        <v>2280.3000000000002</v>
      </c>
      <c r="E7" s="3" t="s">
        <v>19</v>
      </c>
      <c r="F7"/>
      <c r="I7" s="124" t="s">
        <v>496</v>
      </c>
      <c r="J7" s="125">
        <v>-127</v>
      </c>
      <c r="K7" s="124" t="s">
        <v>8</v>
      </c>
      <c r="L7" s="12"/>
    </row>
    <row r="8" spans="3:12" ht="15" thickBot="1">
      <c r="C8" s="127" t="s">
        <v>22</v>
      </c>
      <c r="D8" s="194">
        <f>SUMIF(L3:L33,"f",J3:J33)</f>
        <v>-910</v>
      </c>
      <c r="E8" s="30"/>
      <c r="F8"/>
      <c r="I8" s="124" t="s">
        <v>17</v>
      </c>
      <c r="J8" s="125">
        <v>-35</v>
      </c>
      <c r="K8" s="124" t="s">
        <v>8</v>
      </c>
      <c r="L8" s="12"/>
    </row>
    <row r="9" spans="3:12">
      <c r="C9" s="31"/>
      <c r="E9" s="30"/>
      <c r="F9"/>
      <c r="I9" s="124" t="s">
        <v>55</v>
      </c>
      <c r="J9" s="125">
        <v>-33</v>
      </c>
      <c r="K9" s="124" t="s">
        <v>8</v>
      </c>
      <c r="L9" s="12"/>
    </row>
    <row r="10" spans="3:12">
      <c r="C10" s="31"/>
      <c r="D10"/>
      <c r="E10"/>
      <c r="F10"/>
      <c r="I10" s="124" t="s">
        <v>57</v>
      </c>
      <c r="J10" s="125">
        <v>-33</v>
      </c>
      <c r="K10" s="124" t="s">
        <v>8</v>
      </c>
      <c r="L10" s="12" t="s">
        <v>11</v>
      </c>
    </row>
    <row r="11" spans="3:12" ht="14">
      <c r="C11"/>
      <c r="D11"/>
      <c r="E11"/>
      <c r="F11"/>
      <c r="I11" s="124" t="s">
        <v>34</v>
      </c>
      <c r="J11" s="125">
        <v>-29</v>
      </c>
      <c r="K11" s="124" t="s">
        <v>8</v>
      </c>
      <c r="L11" s="12"/>
    </row>
    <row r="12" spans="3:12" ht="14">
      <c r="C12"/>
      <c r="D12"/>
      <c r="E12"/>
      <c r="F12" s="77">
        <v>2890</v>
      </c>
      <c r="I12" s="124" t="s">
        <v>14</v>
      </c>
      <c r="J12" s="125">
        <v>-28.4</v>
      </c>
      <c r="K12" s="124" t="s">
        <v>8</v>
      </c>
      <c r="L12" s="12"/>
    </row>
    <row r="13" spans="3:12">
      <c r="C13" s="31"/>
      <c r="E13"/>
      <c r="F13" t="s">
        <v>498</v>
      </c>
      <c r="I13" s="124" t="s">
        <v>47</v>
      </c>
      <c r="J13" s="125">
        <v>-27</v>
      </c>
      <c r="K13" s="124" t="s">
        <v>8</v>
      </c>
      <c r="L13" s="12" t="s">
        <v>11</v>
      </c>
    </row>
    <row r="14" spans="3:12">
      <c r="C14" s="31"/>
      <c r="E14"/>
      <c r="F14"/>
      <c r="I14" s="124" t="s">
        <v>497</v>
      </c>
      <c r="J14" s="126">
        <v>-17</v>
      </c>
      <c r="K14" s="124" t="s">
        <v>8</v>
      </c>
      <c r="L14" s="12"/>
    </row>
    <row r="15" spans="3:12">
      <c r="C15" s="31"/>
      <c r="D15" s="9"/>
      <c r="E15" s="32"/>
      <c r="I15" s="124" t="s">
        <v>21</v>
      </c>
      <c r="J15" s="125">
        <v>-13.2</v>
      </c>
      <c r="K15" s="124" t="s">
        <v>8</v>
      </c>
      <c r="L15" s="12"/>
    </row>
    <row r="16" spans="3:12">
      <c r="C16" s="31"/>
      <c r="E16" s="32"/>
      <c r="I16" s="124" t="s">
        <v>34</v>
      </c>
      <c r="J16" s="125">
        <v>-13</v>
      </c>
      <c r="K16" s="124" t="s">
        <v>8</v>
      </c>
      <c r="L16" s="12"/>
    </row>
    <row r="17" spans="1:13">
      <c r="C17" s="31"/>
      <c r="E17" s="32"/>
      <c r="I17" s="124" t="s">
        <v>157</v>
      </c>
      <c r="J17" s="125">
        <v>-11.7</v>
      </c>
      <c r="K17" s="124" t="s">
        <v>8</v>
      </c>
      <c r="L17" s="12"/>
    </row>
    <row r="18" spans="1:13">
      <c r="C18" s="31"/>
      <c r="E18" s="32"/>
      <c r="I18" s="124" t="s">
        <v>52</v>
      </c>
      <c r="J18" s="125">
        <v>-7.4</v>
      </c>
      <c r="K18" s="124" t="s">
        <v>8</v>
      </c>
      <c r="L18" s="12"/>
    </row>
    <row r="19" spans="1:13">
      <c r="C19" s="31"/>
      <c r="E19" s="32"/>
      <c r="I19" s="124"/>
      <c r="J19" s="125"/>
      <c r="K19" s="124" t="s">
        <v>8</v>
      </c>
      <c r="L19" s="12" t="s">
        <v>11</v>
      </c>
    </row>
    <row r="20" spans="1:13">
      <c r="I20" s="124"/>
      <c r="J20" s="125"/>
      <c r="K20" s="124" t="s">
        <v>8</v>
      </c>
      <c r="L20" s="12"/>
    </row>
    <row r="21" spans="1:13">
      <c r="I21" s="124"/>
      <c r="J21" s="125"/>
      <c r="K21" s="124" t="s">
        <v>8</v>
      </c>
      <c r="L21" s="12"/>
    </row>
    <row r="22" spans="1:13">
      <c r="I22" s="124"/>
      <c r="J22" s="125"/>
      <c r="K22" s="124" t="s">
        <v>8</v>
      </c>
      <c r="L22" s="12"/>
    </row>
    <row r="23" spans="1:13">
      <c r="I23" s="124"/>
      <c r="J23" s="125"/>
      <c r="K23" s="124" t="s">
        <v>8</v>
      </c>
      <c r="L23" s="12"/>
    </row>
    <row r="24" spans="1:13">
      <c r="I24" s="124"/>
      <c r="J24" s="125"/>
      <c r="K24" s="124" t="s">
        <v>8</v>
      </c>
      <c r="L24" s="12"/>
    </row>
    <row r="25" spans="1:13">
      <c r="I25" s="124"/>
      <c r="J25" s="125"/>
      <c r="K25" s="124" t="s">
        <v>8</v>
      </c>
      <c r="L25" s="12" t="s">
        <v>11</v>
      </c>
    </row>
    <row r="26" spans="1:13">
      <c r="I26" s="124"/>
      <c r="J26" s="125"/>
      <c r="K26" s="124" t="s">
        <v>8</v>
      </c>
      <c r="L26" s="12"/>
    </row>
    <row r="27" spans="1:13">
      <c r="I27" s="124"/>
      <c r="J27" s="125"/>
      <c r="K27" s="124" t="s">
        <v>8</v>
      </c>
      <c r="L27" s="12"/>
    </row>
    <row r="28" spans="1:13">
      <c r="I28" s="124"/>
      <c r="J28" s="125"/>
      <c r="K28" s="124" t="s">
        <v>8</v>
      </c>
      <c r="L28" s="12" t="s">
        <v>11</v>
      </c>
    </row>
    <row r="29" spans="1:13">
      <c r="I29" s="124"/>
      <c r="J29" s="125"/>
      <c r="K29" s="124" t="s">
        <v>8</v>
      </c>
      <c r="L29" s="12"/>
      <c r="M29" s="15"/>
    </row>
    <row r="30" spans="1:13">
      <c r="I30" s="124"/>
      <c r="J30" s="125"/>
      <c r="K30" s="124" t="s">
        <v>8</v>
      </c>
      <c r="L30" s="12" t="s">
        <v>11</v>
      </c>
    </row>
    <row r="31" spans="1:13">
      <c r="A31" s="14"/>
      <c r="B31" s="14"/>
      <c r="I31" s="124"/>
      <c r="J31" s="125"/>
      <c r="K31" s="124" t="s">
        <v>8</v>
      </c>
      <c r="L31" s="12"/>
    </row>
    <row r="32" spans="1:13">
      <c r="H32" s="30"/>
      <c r="I32" s="124"/>
      <c r="J32" s="125"/>
      <c r="K32" s="124" t="s">
        <v>8</v>
      </c>
      <c r="L32" s="12"/>
    </row>
    <row r="33" spans="8:12">
      <c r="H33" s="30"/>
      <c r="I33" s="124"/>
      <c r="J33" s="125"/>
      <c r="K33" s="124" t="s">
        <v>8</v>
      </c>
      <c r="L33" s="12"/>
    </row>
    <row r="34" spans="8:12">
      <c r="H34" s="30"/>
      <c r="I34" s="124"/>
      <c r="J34" s="125"/>
      <c r="K34" s="124" t="s">
        <v>8</v>
      </c>
    </row>
    <row r="35" spans="8:12">
      <c r="H35" s="30"/>
      <c r="I35" s="124"/>
      <c r="J35" s="125"/>
      <c r="K35" s="124" t="s">
        <v>8</v>
      </c>
    </row>
    <row r="36" spans="8:12">
      <c r="H36" s="30"/>
      <c r="I36" s="17"/>
      <c r="J36" s="125"/>
      <c r="K36" s="124" t="s">
        <v>8</v>
      </c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1D000000}">
    <sortState xmlns:xlrd2="http://schemas.microsoft.com/office/spreadsheetml/2017/richdata2" ref="I3:L33">
      <sortCondition ref="J2:J33"/>
    </sortState>
  </autoFilter>
  <conditionalFormatting sqref="I3:K3 I4:J12 K4:K36 I13 I14:J32 I34:J35">
    <cfRule type="expression" dxfId="27" priority="2">
      <formula>$A$3</formula>
    </cfRule>
  </conditionalFormatting>
  <conditionalFormatting sqref="J36">
    <cfRule type="expression" dxfId="26" priority="1">
      <formula>$A$3</formula>
    </cfRule>
  </conditionalFormatting>
  <conditionalFormatting sqref="L3:L32">
    <cfRule type="expression" dxfId="25" priority="3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CE1F-C969-4CCF-9C6F-1E705C8CBBBC}">
  <dimension ref="A1"/>
  <sheetViews>
    <sheetView workbookViewId="0">
      <selection activeCell="E4" sqref="E4"/>
    </sheetView>
  </sheetViews>
  <sheetFormatPr defaultRowHeight="14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DBFC-E5A3-43F1-A6FB-F5803119BBBF}">
  <dimension ref="A1:L47"/>
  <sheetViews>
    <sheetView zoomScale="145" zoomScaleNormal="145" workbookViewId="0">
      <selection activeCell="E19" sqref="E19"/>
    </sheetView>
  </sheetViews>
  <sheetFormatPr defaultColWidth="8.58203125" defaultRowHeight="14.5" outlineLevelRow="1"/>
  <cols>
    <col min="1" max="1" width="16.08203125" style="31" bestFit="1" customWidth="1"/>
    <col min="2" max="2" width="14" style="226" bestFit="1" customWidth="1"/>
    <col min="3" max="3" width="1.08203125" style="32" customWidth="1"/>
    <col min="4" max="4" width="17" style="226" bestFit="1" customWidth="1"/>
    <col min="5" max="5" width="10.5" style="226" customWidth="1"/>
    <col min="6" max="6" width="2.58203125" style="226" customWidth="1"/>
    <col min="7" max="7" width="24" style="226" customWidth="1"/>
    <col min="8" max="8" width="12.5" style="226" customWidth="1"/>
    <col min="9" max="9" width="10.08203125" style="226" customWidth="1"/>
    <col min="10" max="10" width="6.58203125" style="226" customWidth="1"/>
    <col min="11" max="11" width="10.08203125" bestFit="1" customWidth="1"/>
    <col min="12" max="12" width="2.58203125" style="226" customWidth="1"/>
    <col min="13" max="254" width="8.58203125" style="226" customWidth="1"/>
    <col min="255" max="16384" width="8.58203125" style="226"/>
  </cols>
  <sheetData>
    <row r="1" spans="1:11" ht="15" thickBot="1">
      <c r="A1" s="208" t="s">
        <v>0</v>
      </c>
      <c r="B1" s="31"/>
      <c r="C1" s="226"/>
      <c r="D1" s="106" t="s">
        <v>1</v>
      </c>
      <c r="E1" s="31"/>
      <c r="G1" s="120" t="s">
        <v>2</v>
      </c>
      <c r="H1" s="227" t="s">
        <v>3</v>
      </c>
      <c r="I1" s="120" t="s">
        <v>4</v>
      </c>
      <c r="J1" s="227" t="s">
        <v>5</v>
      </c>
      <c r="K1" s="227" t="s">
        <v>534</v>
      </c>
    </row>
    <row r="2" spans="1:11">
      <c r="A2" s="213" t="s">
        <v>6</v>
      </c>
      <c r="B2" s="249">
        <v>5188.49</v>
      </c>
      <c r="C2" s="226"/>
      <c r="D2" s="6" t="s">
        <v>520</v>
      </c>
      <c r="E2" s="5">
        <v>100</v>
      </c>
      <c r="G2" s="228" t="s">
        <v>7</v>
      </c>
      <c r="H2" s="229">
        <v>-1269</v>
      </c>
      <c r="I2" s="230" t="s">
        <v>8</v>
      </c>
      <c r="J2" s="229"/>
      <c r="K2" s="229" t="s">
        <v>535</v>
      </c>
    </row>
    <row r="3" spans="1:11">
      <c r="A3" s="214" t="s">
        <v>9</v>
      </c>
      <c r="B3" s="192">
        <f>SUMIF(I2:I47,"Yes*",H2:H47)</f>
        <v>0</v>
      </c>
      <c r="C3" s="226"/>
      <c r="D3" s="24" t="s">
        <v>597</v>
      </c>
      <c r="E3" s="25">
        <v>300</v>
      </c>
      <c r="G3" s="228" t="s">
        <v>605</v>
      </c>
      <c r="H3" s="229"/>
      <c r="I3" s="230" t="s">
        <v>8</v>
      </c>
      <c r="J3" s="229" t="s">
        <v>514</v>
      </c>
      <c r="K3" s="229" t="s">
        <v>202</v>
      </c>
    </row>
    <row r="4" spans="1:11" outlineLevel="1">
      <c r="A4" s="213" t="s">
        <v>12</v>
      </c>
      <c r="B4" s="249">
        <v>5172</v>
      </c>
      <c r="C4" s="226"/>
      <c r="D4" s="24" t="s">
        <v>522</v>
      </c>
      <c r="E4" s="25">
        <v>89</v>
      </c>
      <c r="F4" s="231"/>
      <c r="G4" s="228" t="s">
        <v>14</v>
      </c>
      <c r="H4" s="229">
        <v>-37</v>
      </c>
      <c r="I4" s="230" t="s">
        <v>8</v>
      </c>
      <c r="J4" s="229"/>
      <c r="K4" s="229" t="s">
        <v>536</v>
      </c>
    </row>
    <row r="5" spans="1:11" ht="15" thickBot="1">
      <c r="A5" s="215" t="s">
        <v>15</v>
      </c>
      <c r="B5" s="200">
        <f>SUMIF(I2:I47,"No",H2:H47)</f>
        <v>-4300.49</v>
      </c>
      <c r="C5" s="226"/>
      <c r="D5" s="24" t="s">
        <v>526</v>
      </c>
      <c r="E5" s="25">
        <v>550</v>
      </c>
      <c r="G5" s="228" t="s">
        <v>17</v>
      </c>
      <c r="H5" s="229">
        <v>-39</v>
      </c>
      <c r="I5" s="230" t="s">
        <v>8</v>
      </c>
      <c r="J5" s="229"/>
      <c r="K5" s="229" t="s">
        <v>536</v>
      </c>
    </row>
    <row r="6" spans="1:11" ht="15" thickBot="1">
      <c r="A6" s="216" t="s">
        <v>18</v>
      </c>
      <c r="B6" s="29">
        <f>B5+B4</f>
        <v>871.51000000000022</v>
      </c>
      <c r="C6" s="226" t="s">
        <v>19</v>
      </c>
      <c r="D6" s="24" t="s">
        <v>596</v>
      </c>
      <c r="E6" s="25">
        <v>215</v>
      </c>
      <c r="G6" s="228" t="s">
        <v>21</v>
      </c>
      <c r="H6" s="229">
        <v>-15</v>
      </c>
      <c r="I6" s="230" t="s">
        <v>8</v>
      </c>
      <c r="J6" s="229"/>
      <c r="K6" s="229" t="s">
        <v>537</v>
      </c>
    </row>
    <row r="7" spans="1:11">
      <c r="A7" s="217" t="s">
        <v>504</v>
      </c>
      <c r="B7" s="201">
        <f>SUMIF(J2:J47,"f1",H2:H47)</f>
        <v>-1780</v>
      </c>
      <c r="C7" s="30"/>
      <c r="D7" s="24" t="s">
        <v>601</v>
      </c>
      <c r="E7" s="25"/>
      <c r="G7" s="228" t="s">
        <v>24</v>
      </c>
      <c r="H7" s="229">
        <v>-155</v>
      </c>
      <c r="I7" s="230" t="s">
        <v>8</v>
      </c>
      <c r="J7" s="229"/>
      <c r="K7" s="229" t="s">
        <v>537</v>
      </c>
    </row>
    <row r="8" spans="1:11">
      <c r="A8" s="218" t="s">
        <v>505</v>
      </c>
      <c r="B8" s="194">
        <f>SUMIF(J2:J47,"f2",H2:H47)</f>
        <v>-62</v>
      </c>
      <c r="C8" s="30"/>
      <c r="D8" s="24" t="s">
        <v>133</v>
      </c>
      <c r="E8" s="25">
        <v>150</v>
      </c>
      <c r="G8" s="228" t="s">
        <v>25</v>
      </c>
      <c r="H8" s="229">
        <v>-50</v>
      </c>
      <c r="I8" s="230" t="s">
        <v>8</v>
      </c>
      <c r="J8" s="229" t="s">
        <v>514</v>
      </c>
      <c r="K8" s="229" t="s">
        <v>536</v>
      </c>
    </row>
    <row r="9" spans="1:11">
      <c r="A9" s="218" t="s">
        <v>147</v>
      </c>
      <c r="B9" s="194">
        <f>SUMIF(J2:J47,"",H2:H47)</f>
        <v>-2353.4899999999998</v>
      </c>
      <c r="C9" s="226"/>
      <c r="D9" s="24" t="s">
        <v>602</v>
      </c>
      <c r="E9" s="25">
        <v>220</v>
      </c>
      <c r="G9" s="228" t="s">
        <v>27</v>
      </c>
      <c r="H9" s="229">
        <v>-20</v>
      </c>
      <c r="I9" s="230" t="s">
        <v>8</v>
      </c>
      <c r="J9" s="229"/>
      <c r="K9" s="229" t="s">
        <v>538</v>
      </c>
    </row>
    <row r="10" spans="1:11" ht="15" thickBot="1">
      <c r="A10" s="218" t="s">
        <v>202</v>
      </c>
      <c r="B10" s="194">
        <f>SUMIF(J2:J47,"s",H2:H47)</f>
        <v>-105</v>
      </c>
      <c r="C10" s="226"/>
      <c r="D10" s="24" t="s">
        <v>394</v>
      </c>
      <c r="E10" s="25">
        <v>63</v>
      </c>
      <c r="G10" s="228" t="s">
        <v>575</v>
      </c>
      <c r="H10" s="229">
        <v>-55</v>
      </c>
      <c r="I10" s="230" t="s">
        <v>8</v>
      </c>
      <c r="J10" s="229" t="s">
        <v>514</v>
      </c>
      <c r="K10" s="229" t="s">
        <v>202</v>
      </c>
    </row>
    <row r="11" spans="1:11" ht="15" thickBot="1">
      <c r="A11" s="232"/>
      <c r="C11" s="226"/>
      <c r="D11" s="26" t="s">
        <v>28</v>
      </c>
      <c r="E11" s="27">
        <f>SUM(E2:E10)</f>
        <v>1687</v>
      </c>
      <c r="G11" s="228"/>
      <c r="H11" s="229"/>
      <c r="I11" s="230" t="s">
        <v>8</v>
      </c>
      <c r="J11" s="229"/>
      <c r="K11" s="229" t="s">
        <v>538</v>
      </c>
    </row>
    <row r="12" spans="1:11" ht="15" thickBot="1">
      <c r="A12" s="233"/>
      <c r="B12" s="234"/>
      <c r="C12" s="226"/>
      <c r="D12" s="26" t="s">
        <v>501</v>
      </c>
      <c r="E12" s="27"/>
      <c r="G12" s="228" t="s">
        <v>128</v>
      </c>
      <c r="H12" s="235">
        <v>-8.99</v>
      </c>
      <c r="I12" s="230" t="s">
        <v>8</v>
      </c>
      <c r="J12" s="229"/>
      <c r="K12" s="229" t="s">
        <v>538</v>
      </c>
    </row>
    <row r="13" spans="1:11" ht="15" thickBot="1">
      <c r="A13" s="27" t="s">
        <v>528</v>
      </c>
      <c r="B13" s="27">
        <v>12000</v>
      </c>
      <c r="C13" s="226"/>
      <c r="D13" s="26" t="s">
        <v>543</v>
      </c>
      <c r="E13" s="27">
        <v>5145.97</v>
      </c>
      <c r="G13" s="228" t="s">
        <v>33</v>
      </c>
      <c r="H13" s="229">
        <v>-239</v>
      </c>
      <c r="I13" s="230" t="s">
        <v>8</v>
      </c>
      <c r="J13" s="229"/>
      <c r="K13" s="229" t="s">
        <v>537</v>
      </c>
    </row>
    <row r="14" spans="1:11" ht="15" thickBot="1">
      <c r="A14" s="27" t="s">
        <v>501</v>
      </c>
      <c r="B14" s="27">
        <f>E12+E13</f>
        <v>5145.97</v>
      </c>
      <c r="C14" s="226"/>
      <c r="D14" s="26" t="s">
        <v>580</v>
      </c>
      <c r="E14" s="27">
        <v>1455</v>
      </c>
      <c r="G14" s="228" t="s">
        <v>34</v>
      </c>
      <c r="H14" s="229">
        <v>-13</v>
      </c>
      <c r="I14" s="230" t="s">
        <v>8</v>
      </c>
      <c r="J14" s="229"/>
      <c r="K14" s="229" t="s">
        <v>537</v>
      </c>
    </row>
    <row r="15" spans="1:11" ht="15" thickBot="1">
      <c r="A15" s="27" t="s">
        <v>529</v>
      </c>
      <c r="B15" s="27">
        <f>B13-B14</f>
        <v>6854.03</v>
      </c>
      <c r="C15" s="226"/>
      <c r="D15" s="26"/>
      <c r="E15" s="27"/>
      <c r="G15" s="228" t="s">
        <v>470</v>
      </c>
      <c r="H15" s="229"/>
      <c r="I15" s="230" t="s">
        <v>8</v>
      </c>
      <c r="J15" s="229"/>
      <c r="K15" s="229" t="s">
        <v>537</v>
      </c>
    </row>
    <row r="16" spans="1:11" ht="15" thickBot="1">
      <c r="A16" s="27" t="s">
        <v>530</v>
      </c>
      <c r="B16" s="246">
        <f>B14/B13</f>
        <v>0.42883083333333333</v>
      </c>
      <c r="C16" s="226"/>
      <c r="D16" s="26" t="s">
        <v>579</v>
      </c>
      <c r="E16" s="27">
        <v>595</v>
      </c>
      <c r="G16" s="228" t="s">
        <v>34</v>
      </c>
      <c r="H16" s="229">
        <v>-30</v>
      </c>
      <c r="I16" s="230" t="s">
        <v>8</v>
      </c>
      <c r="J16" s="229"/>
      <c r="K16" s="229" t="s">
        <v>537</v>
      </c>
    </row>
    <row r="17" spans="1:12">
      <c r="A17" s="211"/>
      <c r="B17" s="236"/>
      <c r="C17" s="226"/>
      <c r="G17" s="228" t="s">
        <v>39</v>
      </c>
      <c r="H17" s="229">
        <v>-1.5</v>
      </c>
      <c r="I17" s="230" t="s">
        <v>8</v>
      </c>
      <c r="J17" s="229"/>
      <c r="K17" s="229" t="s">
        <v>538</v>
      </c>
    </row>
    <row r="18" spans="1:12">
      <c r="A18" s="237" t="s">
        <v>7</v>
      </c>
      <c r="C18" s="226"/>
      <c r="D18" s="226" t="s">
        <v>116</v>
      </c>
      <c r="G18" s="228" t="s">
        <v>479</v>
      </c>
      <c r="H18" s="229">
        <v>-5</v>
      </c>
      <c r="I18" s="230" t="s">
        <v>8</v>
      </c>
      <c r="J18" s="229"/>
      <c r="K18" s="229" t="s">
        <v>536</v>
      </c>
    </row>
    <row r="19" spans="1:12">
      <c r="A19" s="219" t="s">
        <v>35</v>
      </c>
      <c r="B19" s="202">
        <v>153458.32</v>
      </c>
      <c r="C19" s="226"/>
      <c r="G19" s="228" t="s">
        <v>606</v>
      </c>
      <c r="H19" s="229">
        <v>-800</v>
      </c>
      <c r="I19" s="230" t="s">
        <v>8</v>
      </c>
      <c r="J19" s="229" t="s">
        <v>502</v>
      </c>
      <c r="K19" s="229" t="s">
        <v>22</v>
      </c>
    </row>
    <row r="20" spans="1:12" ht="15" thickBot="1">
      <c r="A20" s="220" t="s">
        <v>37</v>
      </c>
      <c r="B20" s="203">
        <v>81199.44</v>
      </c>
      <c r="C20" s="226"/>
      <c r="G20" s="228" t="s">
        <v>70</v>
      </c>
      <c r="H20" s="229">
        <v>-29</v>
      </c>
      <c r="I20" s="230" t="s">
        <v>8</v>
      </c>
      <c r="J20" s="229" t="s">
        <v>503</v>
      </c>
      <c r="K20" s="229" t="s">
        <v>539</v>
      </c>
    </row>
    <row r="21" spans="1:12" ht="15" thickBot="1">
      <c r="A21" s="221" t="s">
        <v>38</v>
      </c>
      <c r="B21" s="204">
        <f>SUM(B19:B20)</f>
        <v>234657.76</v>
      </c>
      <c r="C21" s="226"/>
      <c r="G21" s="228" t="s">
        <v>552</v>
      </c>
      <c r="H21" s="229"/>
      <c r="I21" s="230" t="s">
        <v>8</v>
      </c>
      <c r="J21" s="229" t="s">
        <v>502</v>
      </c>
      <c r="K21" s="229" t="s">
        <v>22</v>
      </c>
    </row>
    <row r="22" spans="1:12" ht="15" thickBot="1">
      <c r="A22" s="222" t="s">
        <v>40</v>
      </c>
      <c r="B22" s="205">
        <f>B23*0.2</f>
        <v>90000</v>
      </c>
      <c r="C22" s="226"/>
      <c r="D22" s="226" t="s">
        <v>73</v>
      </c>
      <c r="G22" s="228" t="s">
        <v>49</v>
      </c>
      <c r="H22" s="229">
        <v>-900</v>
      </c>
      <c r="I22" s="230" t="s">
        <v>8</v>
      </c>
      <c r="J22" s="229" t="s">
        <v>502</v>
      </c>
      <c r="K22" s="229" t="s">
        <v>540</v>
      </c>
    </row>
    <row r="23" spans="1:12">
      <c r="A23" s="238" t="s">
        <v>43</v>
      </c>
      <c r="B23" s="248">
        <v>450000</v>
      </c>
      <c r="C23" s="226"/>
      <c r="G23" s="228" t="s">
        <v>74</v>
      </c>
      <c r="H23" s="229">
        <v>-11</v>
      </c>
      <c r="I23" s="230" t="s">
        <v>8</v>
      </c>
      <c r="J23" s="229"/>
      <c r="K23" s="229" t="s">
        <v>539</v>
      </c>
    </row>
    <row r="24" spans="1:12">
      <c r="A24" s="240" t="s">
        <v>46</v>
      </c>
      <c r="B24" s="247">
        <f>B23-SUM(B21:B22)</f>
        <v>125342.23999999999</v>
      </c>
      <c r="G24" s="228" t="s">
        <v>52</v>
      </c>
      <c r="H24" s="229">
        <v>-14</v>
      </c>
      <c r="I24" s="230" t="s">
        <v>8</v>
      </c>
      <c r="J24" s="229"/>
      <c r="K24" s="229" t="s">
        <v>537</v>
      </c>
    </row>
    <row r="25" spans="1:12">
      <c r="G25" s="228" t="s">
        <v>54</v>
      </c>
      <c r="H25" s="229"/>
      <c r="I25" s="230" t="s">
        <v>8</v>
      </c>
      <c r="J25" s="229" t="s">
        <v>514</v>
      </c>
      <c r="K25" s="229" t="s">
        <v>202</v>
      </c>
    </row>
    <row r="26" spans="1:12">
      <c r="G26" s="228" t="s">
        <v>55</v>
      </c>
      <c r="H26" s="229">
        <v>-35</v>
      </c>
      <c r="I26" s="230" t="s">
        <v>8</v>
      </c>
      <c r="J26" s="229"/>
      <c r="K26" s="229" t="s">
        <v>536</v>
      </c>
    </row>
    <row r="27" spans="1:12">
      <c r="G27" s="228" t="s">
        <v>56</v>
      </c>
      <c r="H27" s="229">
        <v>-80</v>
      </c>
      <c r="I27" s="230" t="s">
        <v>8</v>
      </c>
      <c r="J27" s="229" t="s">
        <v>502</v>
      </c>
      <c r="K27" s="229" t="s">
        <v>22</v>
      </c>
    </row>
    <row r="28" spans="1:12">
      <c r="G28" s="228" t="s">
        <v>78</v>
      </c>
      <c r="H28" s="229">
        <v>-18</v>
      </c>
      <c r="I28" s="230" t="s">
        <v>8</v>
      </c>
      <c r="J28" s="229"/>
      <c r="K28" s="229" t="s">
        <v>537</v>
      </c>
      <c r="L28" s="242"/>
    </row>
    <row r="29" spans="1:12">
      <c r="G29" s="228" t="s">
        <v>57</v>
      </c>
      <c r="H29" s="229">
        <v>-33</v>
      </c>
      <c r="I29" s="230" t="s">
        <v>8</v>
      </c>
      <c r="J29" s="229" t="s">
        <v>503</v>
      </c>
      <c r="K29" s="229" t="s">
        <v>22</v>
      </c>
    </row>
    <row r="30" spans="1:12">
      <c r="A30" s="31" t="s">
        <v>509</v>
      </c>
      <c r="G30" s="228" t="s">
        <v>79</v>
      </c>
      <c r="H30" s="229">
        <v>-12</v>
      </c>
      <c r="I30" s="230" t="s">
        <v>8</v>
      </c>
      <c r="J30" s="229"/>
      <c r="K30" s="229" t="s">
        <v>537</v>
      </c>
    </row>
    <row r="31" spans="1:12" ht="15.5">
      <c r="A31" s="243">
        <v>1104841580</v>
      </c>
      <c r="F31" s="30"/>
      <c r="G31" s="228" t="s">
        <v>80</v>
      </c>
      <c r="H31" s="229">
        <v>-33</v>
      </c>
      <c r="I31" s="230" t="s">
        <v>8</v>
      </c>
      <c r="J31" s="229"/>
      <c r="K31" s="229" t="s">
        <v>202</v>
      </c>
    </row>
    <row r="32" spans="1:12">
      <c r="F32" s="30"/>
      <c r="G32" s="228" t="s">
        <v>144</v>
      </c>
      <c r="H32" s="229">
        <v>-100</v>
      </c>
      <c r="I32" s="230" t="s">
        <v>8</v>
      </c>
      <c r="J32" s="229"/>
      <c r="K32" s="229" t="s">
        <v>541</v>
      </c>
    </row>
    <row r="33" spans="6:11">
      <c r="F33" s="30"/>
      <c r="G33" s="228" t="s">
        <v>573</v>
      </c>
      <c r="H33" s="229">
        <v>-20</v>
      </c>
      <c r="I33" s="230" t="s">
        <v>8</v>
      </c>
      <c r="J33" s="244"/>
      <c r="K33" s="229" t="s">
        <v>542</v>
      </c>
    </row>
    <row r="34" spans="6:11">
      <c r="F34" s="30"/>
      <c r="G34" s="228" t="s">
        <v>84</v>
      </c>
      <c r="H34" s="229">
        <v>-138</v>
      </c>
      <c r="I34" s="230" t="s">
        <v>8</v>
      </c>
      <c r="J34" s="244"/>
      <c r="K34" s="229" t="s">
        <v>535</v>
      </c>
    </row>
    <row r="35" spans="6:11">
      <c r="F35" s="30"/>
      <c r="G35" s="244" t="s">
        <v>574</v>
      </c>
      <c r="H35" s="229">
        <v>-20</v>
      </c>
      <c r="I35" s="230" t="s">
        <v>8</v>
      </c>
      <c r="J35" s="244"/>
      <c r="K35" s="229" t="s">
        <v>202</v>
      </c>
    </row>
    <row r="36" spans="6:11">
      <c r="F36" s="30"/>
      <c r="G36" s="244"/>
      <c r="H36" s="229"/>
      <c r="I36" s="230" t="s">
        <v>8</v>
      </c>
      <c r="J36" s="244"/>
      <c r="K36" s="229" t="s">
        <v>22</v>
      </c>
    </row>
    <row r="37" spans="6:11">
      <c r="F37" s="30"/>
      <c r="G37" s="244" t="s">
        <v>62</v>
      </c>
      <c r="H37" s="229">
        <v>-20</v>
      </c>
      <c r="I37" s="230" t="s">
        <v>8</v>
      </c>
      <c r="J37" s="244"/>
      <c r="K37" s="229" t="s">
        <v>22</v>
      </c>
    </row>
    <row r="38" spans="6:11">
      <c r="F38" s="30"/>
      <c r="G38" s="244" t="s">
        <v>586</v>
      </c>
      <c r="H38" s="229">
        <v>-100</v>
      </c>
      <c r="I38" s="230" t="s">
        <v>8</v>
      </c>
      <c r="J38" s="244"/>
      <c r="K38" s="229"/>
    </row>
    <row r="39" spans="6:11">
      <c r="F39" s="30"/>
      <c r="G39" s="244"/>
      <c r="H39" s="229"/>
      <c r="I39" s="230" t="s">
        <v>8</v>
      </c>
      <c r="J39" s="244"/>
      <c r="K39" s="229"/>
    </row>
    <row r="40" spans="6:11">
      <c r="F40" s="30"/>
      <c r="G40" s="244"/>
      <c r="H40" s="229"/>
      <c r="I40" s="230" t="s">
        <v>8</v>
      </c>
      <c r="J40" s="244"/>
      <c r="K40" s="229"/>
    </row>
    <row r="41" spans="6:11">
      <c r="F41" s="30"/>
      <c r="G41" s="244"/>
      <c r="H41" s="229"/>
      <c r="I41" s="230" t="s">
        <v>8</v>
      </c>
      <c r="J41" s="244"/>
      <c r="K41" s="229"/>
    </row>
    <row r="42" spans="6:11">
      <c r="F42" s="30"/>
      <c r="G42" s="244"/>
      <c r="H42" s="229"/>
      <c r="I42" s="230" t="s">
        <v>8</v>
      </c>
      <c r="J42" s="244"/>
      <c r="K42" s="229"/>
    </row>
    <row r="43" spans="6:11">
      <c r="F43" s="30"/>
      <c r="G43" s="244"/>
      <c r="H43" s="229"/>
      <c r="I43" s="230" t="s">
        <v>8</v>
      </c>
      <c r="J43" s="244"/>
      <c r="K43" s="229"/>
    </row>
    <row r="44" spans="6:11">
      <c r="F44" s="30"/>
      <c r="G44" s="244"/>
      <c r="H44" s="229"/>
      <c r="I44" s="230" t="s">
        <v>8</v>
      </c>
      <c r="J44" s="244"/>
      <c r="K44" s="229"/>
    </row>
    <row r="45" spans="6:11">
      <c r="F45" s="30"/>
      <c r="G45" s="244"/>
      <c r="H45" s="229"/>
      <c r="I45" s="230" t="s">
        <v>8</v>
      </c>
      <c r="J45" s="244"/>
      <c r="K45" s="229"/>
    </row>
    <row r="46" spans="6:11">
      <c r="F46" s="30"/>
      <c r="G46" s="244"/>
      <c r="H46" s="229"/>
      <c r="I46" s="230" t="s">
        <v>8</v>
      </c>
      <c r="J46" s="244"/>
      <c r="K46" s="229"/>
    </row>
    <row r="47" spans="6:11">
      <c r="G47" s="244"/>
      <c r="H47" s="229"/>
      <c r="I47" s="230" t="s">
        <v>8</v>
      </c>
      <c r="J47" s="244"/>
      <c r="K47" s="229"/>
    </row>
  </sheetData>
  <conditionalFormatting sqref="G2:H11 G12 G13:H31 G33:H34">
    <cfRule type="expression" dxfId="24" priority="2">
      <formula>#REF!</formula>
    </cfRule>
  </conditionalFormatting>
  <conditionalFormatting sqref="H35:H47">
    <cfRule type="expression" dxfId="23" priority="1">
      <formula>#REF!</formula>
    </cfRule>
  </conditionalFormatting>
  <conditionalFormatting sqref="I2:I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22" priority="12">
      <formula>#REF!</formula>
    </cfRule>
  </conditionalFormatting>
  <conditionalFormatting sqref="I2:I47">
    <cfRule type="containsText" dxfId="21" priority="6" operator="containsText" text="No">
      <formula>NOT(ISERROR(SEARCH("No",I2)))</formula>
    </cfRule>
    <cfRule type="containsText" dxfId="20" priority="7" operator="containsText" text="yes">
      <formula>NOT(ISERROR(SEARCH("yes",I2)))</formula>
    </cfRule>
  </conditionalFormatting>
  <conditionalFormatting sqref="I38:I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9" priority="9">
      <formula>#REF!</formula>
    </cfRule>
  </conditionalFormatting>
  <conditionalFormatting sqref="J2:J31">
    <cfRule type="expression" dxfId="18" priority="10">
      <formula>#REF!</formula>
    </cfRule>
  </conditionalFormatting>
  <conditionalFormatting sqref="J2:J3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{F6FA0893-2CAA-4248-AE7C-8FF81F20834F}</x14:id>
        </ext>
      </extLst>
    </cfRule>
  </conditionalFormatting>
  <conditionalFormatting sqref="J38:J4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{D7EB3DCC-2F59-4337-A2BD-EBCC305A6092}</x14:id>
        </ext>
      </extLst>
    </cfRule>
  </conditionalFormatting>
  <conditionalFormatting sqref="K2:K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{F91A83B9-4A38-48DD-A94F-9749890453F7}</x14:id>
        </ext>
      </extLst>
    </cfRule>
    <cfRule type="expression" dxfId="17" priority="4">
      <formula>#REF!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FA0893-2CAA-4248-AE7C-8FF81F208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J2:J37</xm:sqref>
        </x14:conditionalFormatting>
        <x14:conditionalFormatting xmlns:xm="http://schemas.microsoft.com/office/excel/2006/main">
          <x14:cfRule type="dataBar" id="{D7EB3DCC-2F59-4337-A2BD-EBCC305A60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J38:J47</xm:sqref>
        </x14:conditionalFormatting>
        <x14:conditionalFormatting xmlns:xm="http://schemas.microsoft.com/office/excel/2006/main">
          <x14:cfRule type="dataBar" id="{F91A83B9-4A38-48DD-A94F-974989045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K2:K47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845C-380E-487C-94E5-92C5156C198A}">
  <dimension ref="A1:B6"/>
  <sheetViews>
    <sheetView workbookViewId="0">
      <selection activeCell="J41" sqref="J41"/>
    </sheetView>
  </sheetViews>
  <sheetFormatPr defaultRowHeight="14"/>
  <sheetData>
    <row r="1" spans="1:2">
      <c r="A1" t="s">
        <v>587</v>
      </c>
    </row>
    <row r="2" spans="1:2">
      <c r="A2">
        <v>1</v>
      </c>
      <c r="B2" t="s">
        <v>588</v>
      </c>
    </row>
    <row r="3" spans="1:2">
      <c r="B3" t="s">
        <v>589</v>
      </c>
    </row>
    <row r="4" spans="1:2">
      <c r="A4">
        <v>2</v>
      </c>
      <c r="B4" t="s">
        <v>590</v>
      </c>
    </row>
    <row r="5" spans="1:2">
      <c r="A5">
        <v>3</v>
      </c>
      <c r="B5" t="s">
        <v>592</v>
      </c>
    </row>
    <row r="6" spans="1:2">
      <c r="A6">
        <v>4</v>
      </c>
      <c r="B6" t="s">
        <v>591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9"/>
  <sheetViews>
    <sheetView workbookViewId="0">
      <selection activeCell="G18" sqref="G18:G29"/>
    </sheetView>
  </sheetViews>
  <sheetFormatPr defaultRowHeight="14"/>
  <sheetData>
    <row r="1" spans="1:3">
      <c r="A1" t="s">
        <v>201</v>
      </c>
      <c r="C1" t="s">
        <v>363</v>
      </c>
    </row>
    <row r="2" spans="1:3">
      <c r="A2" t="s">
        <v>364</v>
      </c>
      <c r="C2" t="s">
        <v>365</v>
      </c>
    </row>
    <row r="3" spans="1:3">
      <c r="A3" t="s">
        <v>366</v>
      </c>
      <c r="C3" t="s">
        <v>365</v>
      </c>
    </row>
    <row r="4" spans="1:3">
      <c r="A4" t="s">
        <v>367</v>
      </c>
      <c r="C4" t="s">
        <v>368</v>
      </c>
    </row>
    <row r="5" spans="1:3">
      <c r="A5" t="s">
        <v>63</v>
      </c>
      <c r="C5" t="s">
        <v>369</v>
      </c>
    </row>
    <row r="18" spans="7:7">
      <c r="G18">
        <v>4791</v>
      </c>
    </row>
    <row r="19" spans="7:7">
      <c r="G19">
        <v>4830</v>
      </c>
    </row>
    <row r="20" spans="7:7">
      <c r="G20">
        <v>4714</v>
      </c>
    </row>
    <row r="21" spans="7:7">
      <c r="G21">
        <v>4665</v>
      </c>
    </row>
    <row r="22" spans="7:7">
      <c r="G22">
        <v>4706</v>
      </c>
    </row>
    <row r="23" spans="7:7">
      <c r="G23">
        <v>4868</v>
      </c>
    </row>
    <row r="24" spans="7:7">
      <c r="G24">
        <v>4850</v>
      </c>
    </row>
    <row r="25" spans="7:7">
      <c r="G25">
        <v>5196</v>
      </c>
    </row>
    <row r="26" spans="7:7">
      <c r="G26">
        <v>5038</v>
      </c>
    </row>
    <row r="27" spans="7:7">
      <c r="G27">
        <v>4911</v>
      </c>
    </row>
    <row r="28" spans="7:7">
      <c r="G28">
        <v>4954</v>
      </c>
    </row>
    <row r="29" spans="7:7">
      <c r="G29">
        <v>4982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2"/>
  <dimension ref="A1:IS48"/>
  <sheetViews>
    <sheetView zoomScale="205" zoomScaleNormal="205" workbookViewId="0">
      <selection activeCell="F5" sqref="F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58203125" style="2" bestFit="1" customWidth="1"/>
    <col min="6" max="6" width="16.08203125" style="3" bestFit="1" customWidth="1"/>
    <col min="7" max="7" width="17.5" style="3" bestFit="1" customWidth="1"/>
    <col min="8" max="8" width="1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4342.71</v>
      </c>
      <c r="E3" s="3"/>
      <c r="F3" s="7" t="s">
        <v>1</v>
      </c>
      <c r="G3" s="4">
        <v>10</v>
      </c>
      <c r="I3" s="11" t="s">
        <v>7</v>
      </c>
      <c r="J3" s="12">
        <v>-852.98</v>
      </c>
      <c r="K3" s="11" t="s">
        <v>87</v>
      </c>
      <c r="L3" s="12"/>
    </row>
    <row r="4" spans="3:12" ht="15" thickBot="1">
      <c r="C4" s="187" t="s">
        <v>9</v>
      </c>
      <c r="D4" s="188">
        <f>SUMIF(K3:K29,"Yes*",J3:J29)</f>
        <v>-3728.71</v>
      </c>
      <c r="E4" s="3"/>
      <c r="F4" s="6" t="s">
        <v>370</v>
      </c>
      <c r="G4" s="5">
        <v>85</v>
      </c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03">
        <v>37.700000000000003</v>
      </c>
      <c r="E5" s="3"/>
      <c r="F5" s="24" t="s">
        <v>13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SUMIF(K3:K48,"No",J3:J48)</f>
        <v>0</v>
      </c>
      <c r="E6" s="3"/>
      <c r="F6" s="24" t="s">
        <v>91</v>
      </c>
      <c r="G6" s="25"/>
      <c r="I6" s="11" t="s">
        <v>17</v>
      </c>
      <c r="J6" s="12">
        <v>-24.82</v>
      </c>
      <c r="K6" s="11" t="s">
        <v>87</v>
      </c>
      <c r="L6" s="12"/>
    </row>
    <row r="7" spans="3:12" ht="15" thickBot="1">
      <c r="C7" s="28" t="s">
        <v>18</v>
      </c>
      <c r="D7" s="29">
        <f>D6+D5</f>
        <v>37.700000000000003</v>
      </c>
      <c r="E7" s="3" t="s">
        <v>19</v>
      </c>
      <c r="F7" s="24" t="s">
        <v>20</v>
      </c>
      <c r="G7" s="25">
        <v>81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-1740.3</v>
      </c>
      <c r="E8" s="30"/>
      <c r="F8" s="24"/>
      <c r="G8" s="25"/>
      <c r="I8" s="11" t="s">
        <v>24</v>
      </c>
      <c r="J8" s="12">
        <v>-127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-27</v>
      </c>
      <c r="K9" s="11" t="s">
        <v>87</v>
      </c>
      <c r="L9" s="12"/>
    </row>
    <row r="10" spans="3:12" ht="15" thickBot="1">
      <c r="C10" s="31"/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/>
      <c r="E11"/>
      <c r="F11" s="26" t="s">
        <v>28</v>
      </c>
      <c r="G11" s="27">
        <f>SUM(G3:G10)</f>
        <v>176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-13.99</v>
      </c>
      <c r="K12" s="11" t="s">
        <v>87</v>
      </c>
      <c r="L12" s="12"/>
    </row>
    <row r="13" spans="3:12" ht="15" thickBot="1">
      <c r="C13"/>
      <c r="D13"/>
      <c r="E13"/>
      <c r="F13" s="108" t="s">
        <v>31</v>
      </c>
      <c r="G13" s="109">
        <v>290</v>
      </c>
      <c r="I13" s="11" t="s">
        <v>32</v>
      </c>
      <c r="J13" s="101">
        <v>-28.22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-35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1082</v>
      </c>
      <c r="I19" s="11" t="s">
        <v>42</v>
      </c>
      <c r="J19" s="12">
        <v>-685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160</v>
      </c>
      <c r="I20" s="11" t="s">
        <v>45</v>
      </c>
      <c r="J20" s="12">
        <v>-24</v>
      </c>
      <c r="K20" s="11" t="s">
        <v>87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I22" s="11" t="s">
        <v>13</v>
      </c>
      <c r="J22" s="12"/>
      <c r="K22" s="11" t="s">
        <v>8</v>
      </c>
      <c r="L22" s="12"/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-922</v>
      </c>
      <c r="I24" s="11" t="s">
        <v>63</v>
      </c>
      <c r="J24" s="12">
        <v>-120</v>
      </c>
      <c r="K24" s="11" t="s">
        <v>87</v>
      </c>
      <c r="L24" s="12"/>
    </row>
    <row r="25" spans="1:13">
      <c r="C25" s="31" t="s">
        <v>63</v>
      </c>
      <c r="E25" s="32"/>
      <c r="I25" s="11" t="s">
        <v>52</v>
      </c>
      <c r="J25" s="12">
        <v>-7.4</v>
      </c>
      <c r="K25" s="11" t="s">
        <v>87</v>
      </c>
      <c r="L25" s="12"/>
    </row>
    <row r="26" spans="1:13">
      <c r="C26" s="31" t="s">
        <v>203</v>
      </c>
      <c r="D26" s="3">
        <v>60</v>
      </c>
      <c r="E26" s="32"/>
      <c r="I26" s="11" t="s">
        <v>54</v>
      </c>
      <c r="J26" s="12">
        <v>-18</v>
      </c>
      <c r="K26" s="11" t="s">
        <v>87</v>
      </c>
      <c r="L26" s="12" t="s">
        <v>11</v>
      </c>
    </row>
    <row r="27" spans="1:13">
      <c r="C27" s="31" t="s">
        <v>204</v>
      </c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 t="s">
        <v>205</v>
      </c>
      <c r="E28" s="32"/>
      <c r="I28" s="11"/>
      <c r="J28" s="12"/>
      <c r="K28" s="11" t="s">
        <v>8</v>
      </c>
      <c r="L28" s="12"/>
    </row>
    <row r="29" spans="1:13">
      <c r="C29" s="31" t="s">
        <v>206</v>
      </c>
      <c r="E29" s="32"/>
      <c r="I29" s="11" t="s">
        <v>371</v>
      </c>
      <c r="J29" s="12">
        <v>-50</v>
      </c>
      <c r="K29" s="11" t="s">
        <v>87</v>
      </c>
      <c r="L29" s="12"/>
      <c r="M29" s="15"/>
    </row>
    <row r="30" spans="1:13">
      <c r="C30" s="31" t="s">
        <v>207</v>
      </c>
      <c r="E30" s="32"/>
      <c r="I30" s="11" t="s">
        <v>57</v>
      </c>
      <c r="J30" s="12">
        <v>-30</v>
      </c>
      <c r="K30" s="11" t="s">
        <v>87</v>
      </c>
      <c r="L30" s="12" t="s">
        <v>11</v>
      </c>
    </row>
    <row r="31" spans="1:13">
      <c r="A31" s="14"/>
      <c r="B31" s="14"/>
      <c r="C31" s="31" t="s">
        <v>208</v>
      </c>
      <c r="E31" s="32"/>
      <c r="I31" s="11" t="s">
        <v>58</v>
      </c>
      <c r="J31" s="12">
        <v>-293</v>
      </c>
      <c r="K31" s="11" t="s">
        <v>87</v>
      </c>
      <c r="L31" s="12"/>
    </row>
    <row r="32" spans="1:13">
      <c r="C32" s="31" t="s">
        <v>209</v>
      </c>
      <c r="E32" s="32"/>
      <c r="H32" s="30"/>
      <c r="I32" s="11" t="s">
        <v>372</v>
      </c>
      <c r="J32" s="12">
        <v>-200</v>
      </c>
      <c r="K32" s="11" t="s">
        <v>87</v>
      </c>
      <c r="L32" s="12"/>
    </row>
    <row r="33" spans="4:12">
      <c r="D33" s="3">
        <f>SUM(D26:D32)</f>
        <v>60</v>
      </c>
      <c r="E33" s="32"/>
      <c r="H33" s="30"/>
      <c r="I33" s="11" t="s">
        <v>120</v>
      </c>
      <c r="J33" s="12">
        <v>-50</v>
      </c>
      <c r="K33" s="11" t="s">
        <v>87</v>
      </c>
      <c r="L33" s="12"/>
    </row>
    <row r="34" spans="4:12">
      <c r="E34" s="32"/>
      <c r="H34" s="30"/>
      <c r="I34" s="11" t="s">
        <v>79</v>
      </c>
      <c r="J34" s="12">
        <v>-60</v>
      </c>
      <c r="K34" s="11" t="s">
        <v>87</v>
      </c>
    </row>
    <row r="35" spans="4:12">
      <c r="E35" s="32"/>
      <c r="H35" s="30"/>
      <c r="I35" s="11"/>
      <c r="J35" s="12"/>
      <c r="K35" s="11"/>
    </row>
    <row r="36" spans="4:12">
      <c r="E36" s="32"/>
      <c r="H36" s="30"/>
      <c r="I36" s="11"/>
      <c r="J36" s="12"/>
      <c r="K36" s="11"/>
    </row>
    <row r="37" spans="4:12">
      <c r="E37" s="32"/>
      <c r="H37" s="30"/>
      <c r="I37" s="11"/>
      <c r="J37" s="12"/>
      <c r="K37" s="11"/>
    </row>
    <row r="38" spans="4:12">
      <c r="E38" s="32"/>
      <c r="H38" s="30"/>
      <c r="I38" s="11"/>
      <c r="J38" s="12"/>
      <c r="K38" s="11"/>
    </row>
    <row r="39" spans="4:12">
      <c r="E39" s="32"/>
      <c r="H39" s="30"/>
      <c r="I39" s="11"/>
      <c r="J39" s="12"/>
      <c r="K39" s="11"/>
    </row>
    <row r="40" spans="4:12">
      <c r="E40" s="32"/>
      <c r="H40" s="30"/>
      <c r="I40" s="11"/>
      <c r="J40" s="12"/>
      <c r="K40" s="11"/>
    </row>
    <row r="41" spans="4:12">
      <c r="E41" s="32"/>
      <c r="H41" s="30"/>
      <c r="I41" s="11"/>
      <c r="J41" s="12"/>
      <c r="K41" s="11"/>
    </row>
    <row r="42" spans="4:12">
      <c r="E42" s="32"/>
      <c r="H42" s="30"/>
      <c r="I42" s="11"/>
      <c r="J42" s="12"/>
      <c r="K42" s="11"/>
    </row>
    <row r="43" spans="4:12">
      <c r="E43" s="32"/>
      <c r="H43" s="30"/>
      <c r="I43" s="11"/>
      <c r="J43" s="12"/>
      <c r="K43" s="11"/>
    </row>
    <row r="44" spans="4:12">
      <c r="E44" s="32"/>
      <c r="H44" s="30"/>
      <c r="I44" s="11"/>
      <c r="J44" s="12"/>
      <c r="K44" s="11"/>
    </row>
    <row r="45" spans="4:12">
      <c r="E45" s="32"/>
      <c r="H45" s="30"/>
      <c r="I45" s="11"/>
      <c r="J45" s="12"/>
      <c r="K45" s="11"/>
    </row>
    <row r="46" spans="4:12">
      <c r="E46" s="32"/>
      <c r="H46" s="30"/>
      <c r="I46" s="11"/>
      <c r="J46" s="12"/>
      <c r="K46" s="11"/>
    </row>
    <row r="47" spans="4:12">
      <c r="E47" s="32"/>
      <c r="H47" s="30"/>
      <c r="I47" s="11"/>
      <c r="J47" s="12"/>
      <c r="K47" s="11"/>
    </row>
    <row r="48" spans="4:12">
      <c r="E48" s="32"/>
      <c r="H48" s="30"/>
      <c r="I48" s="11"/>
      <c r="J48" s="12"/>
      <c r="K48" s="11"/>
    </row>
  </sheetData>
  <autoFilter ref="I2:L33" xr:uid="{00000000-0009-0000-0000-000021000000}"/>
  <conditionalFormatting sqref="I3:L3 I4:J12 L4:L32 I13 I14:J32">
    <cfRule type="expression" dxfId="16" priority="3">
      <formula>$A$3</formula>
    </cfRule>
  </conditionalFormatting>
  <conditionalFormatting sqref="K4:K48">
    <cfRule type="expression" dxfId="15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3"/>
  <dimension ref="A1:IS48"/>
  <sheetViews>
    <sheetView zoomScale="205" zoomScaleNormal="205" workbookViewId="0">
      <selection activeCell="F5" sqref="F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58203125" style="2" bestFit="1" customWidth="1"/>
    <col min="6" max="6" width="16.08203125" style="3" bestFit="1" customWidth="1"/>
    <col min="7" max="7" width="17.5" style="3" bestFit="1" customWidth="1"/>
    <col min="8" max="8" width="1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3878.72</v>
      </c>
      <c r="E3" s="3"/>
      <c r="F3" s="7" t="s">
        <v>1</v>
      </c>
      <c r="G3" s="4">
        <v>10</v>
      </c>
      <c r="I3" s="11" t="s">
        <v>7</v>
      </c>
      <c r="J3" s="12">
        <v>-852.98</v>
      </c>
      <c r="K3" s="11" t="s">
        <v>87</v>
      </c>
      <c r="L3" s="12"/>
    </row>
    <row r="4" spans="3:12" ht="15" thickBot="1">
      <c r="C4" s="187" t="s">
        <v>9</v>
      </c>
      <c r="D4" s="188">
        <f>SUMIF(K3:K29,"Yes*",J3:J29)</f>
        <v>-3772.4900000000002</v>
      </c>
      <c r="E4" s="3"/>
      <c r="F4" s="6" t="s">
        <v>63</v>
      </c>
      <c r="G4" s="5">
        <v>60</v>
      </c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03">
        <v>69.930000000000007</v>
      </c>
      <c r="E5" s="3"/>
      <c r="F5" s="24" t="s">
        <v>13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SUMIF(K3:K33,"No",J3:J33)</f>
        <v>-60</v>
      </c>
      <c r="E6" s="3"/>
      <c r="F6" s="24" t="s">
        <v>16</v>
      </c>
      <c r="G6" s="25"/>
      <c r="I6" s="11" t="s">
        <v>17</v>
      </c>
      <c r="J6" s="12">
        <v>-24.82</v>
      </c>
      <c r="K6" s="11" t="s">
        <v>87</v>
      </c>
      <c r="L6" s="12"/>
    </row>
    <row r="7" spans="3:12" ht="15" thickBot="1">
      <c r="C7" s="28" t="s">
        <v>18</v>
      </c>
      <c r="D7" s="29">
        <f>D6+D5</f>
        <v>9.9300000000000068</v>
      </c>
      <c r="E7" s="3" t="s">
        <v>19</v>
      </c>
      <c r="F7" s="24" t="s">
        <v>20</v>
      </c>
      <c r="G7" s="25">
        <v>54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-1847.3</v>
      </c>
      <c r="E8" s="30"/>
      <c r="F8" s="24" t="s">
        <v>373</v>
      </c>
      <c r="G8" s="25"/>
      <c r="I8" s="11" t="s">
        <v>24</v>
      </c>
      <c r="J8" s="12">
        <v>-127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-27</v>
      </c>
      <c r="K9" s="11" t="s">
        <v>87</v>
      </c>
      <c r="L9" s="12"/>
    </row>
    <row r="10" spans="3:12" ht="15" thickBot="1">
      <c r="C10" s="31"/>
      <c r="E10"/>
      <c r="F10" s="24" t="s">
        <v>26</v>
      </c>
      <c r="G10" s="25"/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/>
      <c r="E11"/>
      <c r="F11" s="26" t="s">
        <v>28</v>
      </c>
      <c r="G11" s="27">
        <f>SUM(G3:G10)</f>
        <v>124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-13.99</v>
      </c>
      <c r="K12" s="11" t="s">
        <v>87</v>
      </c>
      <c r="L12" s="12"/>
    </row>
    <row r="13" spans="3:12" ht="15" thickBot="1">
      <c r="C13"/>
      <c r="D13"/>
      <c r="E13"/>
      <c r="F13" s="108" t="s">
        <v>31</v>
      </c>
      <c r="G13" s="109">
        <v>290</v>
      </c>
      <c r="I13" s="11" t="s">
        <v>32</v>
      </c>
      <c r="J13" s="101">
        <v>-25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-35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1082</v>
      </c>
      <c r="I19" s="11" t="s">
        <v>42</v>
      </c>
      <c r="J19" s="12">
        <v>-655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160</v>
      </c>
      <c r="I20" s="11" t="s">
        <v>45</v>
      </c>
      <c r="J20" s="12">
        <v>-24</v>
      </c>
      <c r="K20" s="11" t="s">
        <v>87</v>
      </c>
      <c r="L20" s="12"/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I22" s="11" t="s">
        <v>13</v>
      </c>
      <c r="J22" s="12"/>
      <c r="K22" s="11" t="s">
        <v>8</v>
      </c>
      <c r="L22" s="12"/>
    </row>
    <row r="23" spans="1:13">
      <c r="C23" s="31"/>
      <c r="E23"/>
      <c r="F23" t="s">
        <v>44</v>
      </c>
      <c r="I23" s="11" t="s">
        <v>49</v>
      </c>
      <c r="J23" s="12">
        <v>-900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-922</v>
      </c>
      <c r="I24" s="11" t="s">
        <v>63</v>
      </c>
      <c r="J24" s="12">
        <v>-90</v>
      </c>
      <c r="K24" s="11" t="s">
        <v>87</v>
      </c>
      <c r="L24" s="12"/>
    </row>
    <row r="25" spans="1:13">
      <c r="C25" s="31" t="s">
        <v>63</v>
      </c>
      <c r="E25" s="32"/>
      <c r="I25" s="11" t="s">
        <v>52</v>
      </c>
      <c r="J25" s="12">
        <v>-7.4</v>
      </c>
      <c r="K25" s="11" t="s">
        <v>87</v>
      </c>
      <c r="L25" s="12"/>
    </row>
    <row r="26" spans="1:13">
      <c r="C26" s="31" t="s">
        <v>203</v>
      </c>
      <c r="D26" s="3">
        <v>60</v>
      </c>
      <c r="E26" s="32"/>
      <c r="I26" s="11" t="s">
        <v>54</v>
      </c>
      <c r="J26" s="12">
        <v>-5</v>
      </c>
      <c r="K26" s="11" t="s">
        <v>87</v>
      </c>
      <c r="L26" s="12" t="s">
        <v>11</v>
      </c>
    </row>
    <row r="27" spans="1:13">
      <c r="C27" s="31" t="s">
        <v>204</v>
      </c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 t="s">
        <v>205</v>
      </c>
      <c r="E28" s="32"/>
      <c r="I28" s="11" t="s">
        <v>79</v>
      </c>
      <c r="J28" s="12">
        <v>-60</v>
      </c>
      <c r="K28" s="11" t="s">
        <v>8</v>
      </c>
      <c r="L28" s="12"/>
    </row>
    <row r="29" spans="1:13">
      <c r="C29" s="31" t="s">
        <v>206</v>
      </c>
      <c r="E29" s="32"/>
      <c r="I29" s="11" t="s">
        <v>210</v>
      </c>
      <c r="J29" s="12">
        <v>-20</v>
      </c>
      <c r="K29" s="11" t="s">
        <v>87</v>
      </c>
      <c r="L29" s="12"/>
      <c r="M29" s="15"/>
    </row>
    <row r="30" spans="1:13">
      <c r="C30" s="31" t="s">
        <v>207</v>
      </c>
      <c r="E30" s="32"/>
      <c r="I30" s="11" t="s">
        <v>57</v>
      </c>
      <c r="J30" s="12">
        <v>-30</v>
      </c>
      <c r="K30" s="11" t="s">
        <v>87</v>
      </c>
      <c r="L30" s="12" t="s">
        <v>11</v>
      </c>
    </row>
    <row r="31" spans="1:13">
      <c r="A31" s="14"/>
      <c r="B31" s="14"/>
      <c r="C31" s="31" t="s">
        <v>208</v>
      </c>
      <c r="E31" s="32"/>
      <c r="I31" s="11" t="s">
        <v>58</v>
      </c>
      <c r="J31" s="12">
        <v>-7</v>
      </c>
      <c r="K31" s="11" t="s">
        <v>87</v>
      </c>
      <c r="L31" s="12"/>
    </row>
    <row r="32" spans="1:13">
      <c r="C32" s="31" t="s">
        <v>209</v>
      </c>
      <c r="E32" s="32"/>
      <c r="H32" s="30"/>
      <c r="I32" s="11"/>
      <c r="J32" s="12"/>
      <c r="K32" s="11" t="s">
        <v>8</v>
      </c>
      <c r="L32" s="12"/>
    </row>
    <row r="33" spans="4:12">
      <c r="D33" s="3">
        <f>SUM(D26:D32)</f>
        <v>60</v>
      </c>
      <c r="E33" s="32"/>
      <c r="H33" s="30"/>
      <c r="I33" s="11"/>
      <c r="J33" s="12"/>
      <c r="K33" s="11" t="s">
        <v>8</v>
      </c>
      <c r="L33" s="12"/>
    </row>
    <row r="34" spans="4:12">
      <c r="E34" s="32"/>
      <c r="H34" s="30"/>
    </row>
    <row r="35" spans="4:12">
      <c r="E35" s="32"/>
      <c r="H35" s="30"/>
    </row>
    <row r="36" spans="4:12">
      <c r="E36" s="32"/>
      <c r="H36" s="30"/>
    </row>
    <row r="37" spans="4:12">
      <c r="E37" s="32"/>
      <c r="H37" s="30"/>
    </row>
    <row r="38" spans="4:12">
      <c r="E38" s="32"/>
      <c r="H38" s="30"/>
    </row>
    <row r="39" spans="4:12">
      <c r="E39" s="32"/>
      <c r="H39" s="30"/>
    </row>
    <row r="40" spans="4:12">
      <c r="E40" s="32"/>
      <c r="H40" s="30"/>
    </row>
    <row r="41" spans="4:12">
      <c r="E41" s="32"/>
      <c r="H41" s="30"/>
    </row>
    <row r="42" spans="4:12">
      <c r="E42" s="32"/>
      <c r="H42" s="30"/>
    </row>
    <row r="43" spans="4:12">
      <c r="E43" s="32"/>
      <c r="H43" s="30"/>
    </row>
    <row r="44" spans="4:12">
      <c r="E44" s="32"/>
      <c r="H44" s="30"/>
    </row>
    <row r="45" spans="4:12">
      <c r="E45" s="32"/>
      <c r="H45" s="30"/>
    </row>
    <row r="46" spans="4:12">
      <c r="E46" s="32"/>
      <c r="H46" s="30"/>
    </row>
    <row r="47" spans="4:12">
      <c r="E47" s="32"/>
      <c r="H47" s="30"/>
    </row>
    <row r="48" spans="4:12">
      <c r="E48" s="32"/>
      <c r="H48" s="30"/>
    </row>
  </sheetData>
  <autoFilter ref="I2:L33" xr:uid="{00000000-0009-0000-0000-000022000000}"/>
  <conditionalFormatting sqref="I3:L3 I4:J12 L4:L32 K4:K33 I13 I14:J32">
    <cfRule type="expression" dxfId="14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4"/>
  <dimension ref="A1:IS48"/>
  <sheetViews>
    <sheetView zoomScale="175" zoomScaleNormal="175" workbookViewId="0">
      <selection activeCell="F5" sqref="F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58203125" style="2" bestFit="1" customWidth="1"/>
    <col min="6" max="6" width="16.08203125" style="3" bestFit="1" customWidth="1"/>
    <col min="7" max="7" width="17.5" style="3" bestFit="1" customWidth="1"/>
    <col min="8" max="8" width="1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4110.71</v>
      </c>
      <c r="E3" s="3"/>
      <c r="F3" s="7" t="s">
        <v>1</v>
      </c>
      <c r="G3" s="4">
        <v>10</v>
      </c>
      <c r="I3" s="11" t="s">
        <v>7</v>
      </c>
      <c r="J3" s="12">
        <v>-852.98</v>
      </c>
      <c r="K3" s="11" t="s">
        <v>87</v>
      </c>
      <c r="L3" s="12"/>
    </row>
    <row r="4" spans="3:12" ht="15" thickBot="1">
      <c r="C4" s="187" t="s">
        <v>9</v>
      </c>
      <c r="D4" s="188">
        <f>SUMIF(K3:K29,"Yes*",J3:J29)</f>
        <v>-3675.4900000000002</v>
      </c>
      <c r="E4" s="3"/>
      <c r="F4" s="6" t="s">
        <v>63</v>
      </c>
      <c r="G4" s="5">
        <v>144</v>
      </c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03">
        <v>82.28</v>
      </c>
      <c r="E5" s="3"/>
      <c r="F5" s="24" t="s">
        <v>13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SUMIF(K3:K33,"No",J3:J33)</f>
        <v>-74</v>
      </c>
      <c r="E6" s="3"/>
      <c r="F6" s="24" t="s">
        <v>16</v>
      </c>
      <c r="G6" s="25"/>
      <c r="I6" s="11" t="s">
        <v>17</v>
      </c>
      <c r="J6" s="12">
        <v>-24.82</v>
      </c>
      <c r="K6" s="11" t="s">
        <v>87</v>
      </c>
      <c r="L6" s="12"/>
    </row>
    <row r="7" spans="3:12" ht="15" thickBot="1">
      <c r="C7" s="28" t="s">
        <v>18</v>
      </c>
      <c r="D7" s="29">
        <f>D6+D5</f>
        <v>8.2800000000000011</v>
      </c>
      <c r="E7" s="3" t="s">
        <v>19</v>
      </c>
      <c r="F7" s="24" t="s">
        <v>374</v>
      </c>
      <c r="G7" s="25"/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-1913.3</v>
      </c>
      <c r="E8" s="30"/>
      <c r="F8" s="24"/>
      <c r="G8" s="25"/>
      <c r="I8" s="11" t="s">
        <v>24</v>
      </c>
      <c r="J8" s="12">
        <v>-85</v>
      </c>
      <c r="K8" s="11" t="s">
        <v>87</v>
      </c>
      <c r="L8" s="12"/>
    </row>
    <row r="9" spans="3:12">
      <c r="C9" s="31"/>
      <c r="E9" s="30"/>
      <c r="F9" s="24"/>
      <c r="G9" s="25"/>
      <c r="I9" s="11" t="s">
        <v>25</v>
      </c>
      <c r="J9" s="12">
        <v>-27</v>
      </c>
      <c r="K9" s="11" t="s">
        <v>8</v>
      </c>
      <c r="L9" s="12"/>
    </row>
    <row r="10" spans="3:12" ht="15" thickBot="1">
      <c r="C10" s="31"/>
      <c r="E10"/>
      <c r="F10" s="24" t="s">
        <v>26</v>
      </c>
      <c r="G10" s="25">
        <v>15</v>
      </c>
      <c r="I10" s="11" t="s">
        <v>27</v>
      </c>
      <c r="J10" s="12">
        <v>-16.989999999999998</v>
      </c>
      <c r="K10" s="11" t="s">
        <v>87</v>
      </c>
      <c r="L10" s="12"/>
    </row>
    <row r="11" spans="3:12" ht="15" thickBot="1">
      <c r="C11"/>
      <c r="D11"/>
      <c r="E11"/>
      <c r="F11" s="26" t="s">
        <v>28</v>
      </c>
      <c r="G11" s="27">
        <f>SUM(G3:G10)</f>
        <v>169</v>
      </c>
      <c r="I11" s="11" t="s">
        <v>29</v>
      </c>
      <c r="J11" s="12">
        <v>-395</v>
      </c>
      <c r="K11" s="11" t="s">
        <v>87</v>
      </c>
      <c r="L11" s="12"/>
    </row>
    <row r="12" spans="3:12" thickBot="1">
      <c r="C12"/>
      <c r="D12"/>
      <c r="E12"/>
      <c r="I12" s="11" t="s">
        <v>30</v>
      </c>
      <c r="J12" s="12">
        <v>-13.99</v>
      </c>
      <c r="K12" s="11" t="s">
        <v>87</v>
      </c>
      <c r="L12" s="12"/>
    </row>
    <row r="13" spans="3:12" ht="15" thickBot="1">
      <c r="C13"/>
      <c r="D13"/>
      <c r="E13"/>
      <c r="F13" s="108" t="s">
        <v>31</v>
      </c>
      <c r="G13" s="109">
        <v>290</v>
      </c>
      <c r="I13" s="11" t="s">
        <v>32</v>
      </c>
      <c r="J13" s="101">
        <v>-25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375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-35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1082</v>
      </c>
      <c r="I19" s="11" t="s">
        <v>42</v>
      </c>
      <c r="J19" s="12">
        <v>-615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160</v>
      </c>
      <c r="I20" s="11" t="s">
        <v>127</v>
      </c>
      <c r="J20" s="12">
        <v>-50</v>
      </c>
      <c r="K20" s="11" t="s">
        <v>87</v>
      </c>
      <c r="L20" s="12" t="s">
        <v>11</v>
      </c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I22" s="11" t="s">
        <v>13</v>
      </c>
      <c r="J22" s="12">
        <v>-47</v>
      </c>
      <c r="K22" s="11" t="s">
        <v>8</v>
      </c>
      <c r="L22" s="12"/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-922</v>
      </c>
      <c r="I24" s="11" t="s">
        <v>376</v>
      </c>
      <c r="J24" s="12">
        <v>-24</v>
      </c>
      <c r="K24" s="11" t="s">
        <v>87</v>
      </c>
      <c r="L24" s="12" t="s">
        <v>11</v>
      </c>
    </row>
    <row r="25" spans="1:13">
      <c r="C25" s="31" t="s">
        <v>63</v>
      </c>
      <c r="E25" s="32"/>
      <c r="I25" s="11" t="s">
        <v>52</v>
      </c>
      <c r="J25" s="12">
        <v>-7.4</v>
      </c>
      <c r="K25" s="11" t="s">
        <v>87</v>
      </c>
      <c r="L25" s="12"/>
    </row>
    <row r="26" spans="1:13">
      <c r="C26" s="31" t="s">
        <v>203</v>
      </c>
      <c r="D26" s="3">
        <v>60</v>
      </c>
      <c r="E26" s="32"/>
      <c r="I26" s="11" t="s">
        <v>54</v>
      </c>
      <c r="J26" s="12">
        <v>-32</v>
      </c>
      <c r="K26" s="11" t="s">
        <v>87</v>
      </c>
      <c r="L26" s="12" t="s">
        <v>11</v>
      </c>
    </row>
    <row r="27" spans="1:13">
      <c r="C27" s="31" t="s">
        <v>204</v>
      </c>
      <c r="D27" s="3">
        <v>30</v>
      </c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 t="s">
        <v>205</v>
      </c>
      <c r="D28" s="3">
        <v>30</v>
      </c>
      <c r="E28" s="32"/>
      <c r="I28" s="11" t="s">
        <v>101</v>
      </c>
      <c r="J28" s="12">
        <v>-155</v>
      </c>
      <c r="K28" s="11" t="s">
        <v>87</v>
      </c>
      <c r="L28" s="12" t="s">
        <v>11</v>
      </c>
    </row>
    <row r="29" spans="1:13">
      <c r="C29" s="31" t="s">
        <v>155</v>
      </c>
      <c r="E29" s="32"/>
      <c r="I29" s="11" t="s">
        <v>210</v>
      </c>
      <c r="J29" s="12">
        <v>-40</v>
      </c>
      <c r="K29" s="11" t="s">
        <v>87</v>
      </c>
      <c r="L29" s="12"/>
      <c r="M29" s="15"/>
    </row>
    <row r="30" spans="1:13">
      <c r="C30" s="31" t="s">
        <v>207</v>
      </c>
      <c r="D30" s="3">
        <v>15</v>
      </c>
      <c r="E30" s="32"/>
      <c r="I30" s="11" t="s">
        <v>57</v>
      </c>
      <c r="J30" s="12">
        <v>-30</v>
      </c>
      <c r="K30" s="11" t="s">
        <v>87</v>
      </c>
      <c r="L30" s="12" t="s">
        <v>11</v>
      </c>
    </row>
    <row r="31" spans="1:13">
      <c r="A31" s="14"/>
      <c r="B31" s="14"/>
      <c r="C31" s="31" t="s">
        <v>208</v>
      </c>
      <c r="D31" s="3">
        <v>10</v>
      </c>
      <c r="E31" s="32"/>
      <c r="I31" s="11"/>
      <c r="J31" s="12"/>
      <c r="K31" s="11" t="s">
        <v>8</v>
      </c>
      <c r="L31" s="12"/>
    </row>
    <row r="32" spans="1:13">
      <c r="C32" s="31" t="s">
        <v>209</v>
      </c>
      <c r="E32" s="32"/>
      <c r="H32" s="30"/>
      <c r="I32" s="11" t="s">
        <v>63</v>
      </c>
      <c r="J32" s="12">
        <v>-25</v>
      </c>
      <c r="K32" s="11" t="s">
        <v>87</v>
      </c>
      <c r="L32" s="12"/>
    </row>
    <row r="33" spans="4:12">
      <c r="D33" s="3">
        <f>SUM(D26:D32)</f>
        <v>145</v>
      </c>
      <c r="E33" s="32"/>
      <c r="H33" s="30"/>
      <c r="I33" s="11" t="s">
        <v>377</v>
      </c>
      <c r="J33" s="12">
        <v>-246</v>
      </c>
      <c r="K33" s="11" t="s">
        <v>87</v>
      </c>
      <c r="L33" s="12"/>
    </row>
    <row r="34" spans="4:12">
      <c r="E34" s="32"/>
      <c r="H34" s="30"/>
    </row>
    <row r="35" spans="4:12">
      <c r="E35" s="32"/>
      <c r="H35" s="30"/>
    </row>
    <row r="36" spans="4:12">
      <c r="E36" s="32"/>
      <c r="H36" s="30"/>
    </row>
    <row r="37" spans="4:12">
      <c r="E37" s="32"/>
      <c r="H37" s="30"/>
    </row>
    <row r="38" spans="4:12">
      <c r="E38" s="32"/>
      <c r="H38" s="30"/>
    </row>
    <row r="39" spans="4:12">
      <c r="E39" s="32"/>
      <c r="H39" s="30"/>
    </row>
    <row r="40" spans="4:12">
      <c r="E40" s="32"/>
      <c r="H40" s="30"/>
    </row>
    <row r="41" spans="4:12">
      <c r="E41" s="32"/>
      <c r="H41" s="30"/>
    </row>
    <row r="42" spans="4:12">
      <c r="E42" s="32"/>
      <c r="H42" s="30"/>
    </row>
    <row r="43" spans="4:12">
      <c r="E43" s="32"/>
      <c r="H43" s="30"/>
    </row>
    <row r="44" spans="4:12">
      <c r="E44" s="32"/>
      <c r="H44" s="30"/>
    </row>
    <row r="45" spans="4:12">
      <c r="E45" s="32"/>
      <c r="H45" s="30"/>
    </row>
    <row r="46" spans="4:12">
      <c r="E46" s="32"/>
      <c r="H46" s="30"/>
    </row>
    <row r="47" spans="4:12">
      <c r="E47" s="32"/>
      <c r="H47" s="30"/>
    </row>
    <row r="48" spans="4:12">
      <c r="E48" s="32"/>
      <c r="H48" s="30"/>
    </row>
  </sheetData>
  <autoFilter ref="I2:L33" xr:uid="{00000000-0009-0000-0000-000023000000}"/>
  <conditionalFormatting sqref="I3:L3 I4:J12 L4:L32 K4:K33 I13 I14:J32">
    <cfRule type="expression" dxfId="13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5"/>
  <dimension ref="A1:IS48"/>
  <sheetViews>
    <sheetView zoomScale="205" zoomScaleNormal="205" workbookViewId="0">
      <selection activeCell="F5" sqref="F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58203125" style="2" bestFit="1" customWidth="1"/>
    <col min="6" max="6" width="16.08203125" style="3" bestFit="1" customWidth="1"/>
    <col min="7" max="7" width="17.5" style="3" bestFit="1" customWidth="1"/>
    <col min="8" max="8" width="1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3864.31</v>
      </c>
      <c r="E3" s="3"/>
      <c r="F3" s="7" t="s">
        <v>1</v>
      </c>
      <c r="G3" s="4">
        <v>19</v>
      </c>
      <c r="I3" s="11" t="s">
        <v>7</v>
      </c>
      <c r="J3" s="12">
        <v>-852.98</v>
      </c>
      <c r="K3" s="11" t="s">
        <v>8</v>
      </c>
      <c r="L3" s="12"/>
    </row>
    <row r="4" spans="3:12" ht="15" thickBot="1">
      <c r="C4" s="187" t="s">
        <v>9</v>
      </c>
      <c r="D4" s="188">
        <f>SUMIF(K3:K29,"Yes*",J3:J29)</f>
        <v>0</v>
      </c>
      <c r="E4" s="3"/>
      <c r="F4" s="6"/>
      <c r="G4" s="5"/>
      <c r="I4" s="11" t="s">
        <v>10</v>
      </c>
      <c r="J4" s="12">
        <v>-244.8</v>
      </c>
      <c r="K4" s="11" t="s">
        <v>8</v>
      </c>
      <c r="L4" s="12" t="s">
        <v>11</v>
      </c>
    </row>
    <row r="5" spans="3:12">
      <c r="C5" s="104" t="s">
        <v>12</v>
      </c>
      <c r="D5" s="103">
        <v>63.84</v>
      </c>
      <c r="E5" s="3"/>
      <c r="F5" s="24" t="s">
        <v>13</v>
      </c>
      <c r="G5" s="25">
        <v>8</v>
      </c>
      <c r="H5" s="9"/>
      <c r="I5" s="11" t="s">
        <v>14</v>
      </c>
      <c r="J5" s="12">
        <v>-25.56</v>
      </c>
      <c r="K5" s="11" t="s">
        <v>8</v>
      </c>
      <c r="L5" s="12"/>
    </row>
    <row r="6" spans="3:12" ht="15" thickBot="1">
      <c r="C6" s="189" t="s">
        <v>15</v>
      </c>
      <c r="D6" s="190">
        <f>SUMIF(K3:K33,"No",J3:J33)</f>
        <v>-5547.49</v>
      </c>
      <c r="E6" s="3"/>
      <c r="F6" s="24" t="s">
        <v>378</v>
      </c>
      <c r="G6" s="25">
        <v>50</v>
      </c>
      <c r="I6" s="11" t="s">
        <v>17</v>
      </c>
      <c r="J6" s="12">
        <v>-24.82</v>
      </c>
      <c r="K6" s="11" t="s">
        <v>8</v>
      </c>
      <c r="L6" s="12"/>
    </row>
    <row r="7" spans="3:12" ht="15" thickBot="1">
      <c r="C7" s="28" t="s">
        <v>18</v>
      </c>
      <c r="D7" s="29">
        <f>D6+D5</f>
        <v>-5483.65</v>
      </c>
      <c r="E7" s="3" t="s">
        <v>19</v>
      </c>
      <c r="F7" s="24" t="s">
        <v>63</v>
      </c>
      <c r="G7" s="25">
        <v>350</v>
      </c>
      <c r="I7" s="11" t="s">
        <v>21</v>
      </c>
      <c r="J7" s="12">
        <v>-13.2</v>
      </c>
      <c r="K7" s="11" t="s">
        <v>8</v>
      </c>
      <c r="L7" s="12"/>
    </row>
    <row r="8" spans="3:12" ht="15" thickBot="1">
      <c r="C8" s="107" t="s">
        <v>22</v>
      </c>
      <c r="D8" s="191">
        <f>SUMIF(L3:L33,"f",J3:J33)</f>
        <v>-2104.3000000000002</v>
      </c>
      <c r="E8" s="30"/>
      <c r="F8" s="26" t="s">
        <v>28</v>
      </c>
      <c r="G8" s="27">
        <f>SUM(G3:G7)</f>
        <v>427</v>
      </c>
      <c r="I8" s="11" t="s">
        <v>24</v>
      </c>
      <c r="J8" s="12">
        <v>-85</v>
      </c>
      <c r="K8" s="11" t="s">
        <v>8</v>
      </c>
      <c r="L8" s="12"/>
    </row>
    <row r="9" spans="3:12" ht="15" thickBot="1">
      <c r="C9" s="31"/>
      <c r="E9" s="30"/>
      <c r="F9" s="108"/>
      <c r="G9" s="109"/>
      <c r="I9" s="11" t="s">
        <v>25</v>
      </c>
      <c r="J9" s="12">
        <v>-27</v>
      </c>
      <c r="K9" s="11" t="s">
        <v>8</v>
      </c>
      <c r="L9" s="12"/>
    </row>
    <row r="10" spans="3:12">
      <c r="C10" s="31"/>
      <c r="E10"/>
      <c r="F10"/>
      <c r="G10" s="9"/>
      <c r="I10" s="11" t="s">
        <v>27</v>
      </c>
      <c r="J10" s="12">
        <v>-16.989999999999998</v>
      </c>
      <c r="K10" s="11" t="s">
        <v>8</v>
      </c>
      <c r="L10" s="12"/>
    </row>
    <row r="11" spans="3:12" ht="14">
      <c r="C11"/>
      <c r="D11"/>
      <c r="E11"/>
      <c r="F11" s="77"/>
      <c r="G11" s="9"/>
      <c r="I11" s="11" t="s">
        <v>29</v>
      </c>
      <c r="J11" s="12">
        <v>-300</v>
      </c>
      <c r="K11" s="11" t="s">
        <v>8</v>
      </c>
      <c r="L11" s="12"/>
    </row>
    <row r="12" spans="3:12" ht="14">
      <c r="C12"/>
      <c r="D12"/>
      <c r="E12"/>
      <c r="F12" s="77"/>
      <c r="I12" s="11" t="s">
        <v>30</v>
      </c>
      <c r="J12" s="12">
        <v>-13.99</v>
      </c>
      <c r="K12" s="11" t="s">
        <v>8</v>
      </c>
      <c r="L12" s="12"/>
    </row>
    <row r="13" spans="3:12" ht="14">
      <c r="C13"/>
      <c r="D13"/>
      <c r="E13"/>
      <c r="F13" s="77"/>
      <c r="I13" s="11" t="s">
        <v>32</v>
      </c>
      <c r="J13" s="101">
        <v>-25</v>
      </c>
      <c r="K13" s="11" t="s">
        <v>8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-28</v>
      </c>
      <c r="K17" s="11" t="s">
        <v>8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1082</v>
      </c>
      <c r="I19" s="11" t="s">
        <v>42</v>
      </c>
      <c r="J19" s="12">
        <v>-700</v>
      </c>
      <c r="K19" s="11" t="s">
        <v>8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160</v>
      </c>
      <c r="I20" s="11" t="s">
        <v>379</v>
      </c>
      <c r="J20" s="12">
        <v>-25</v>
      </c>
      <c r="K20" s="11" t="s">
        <v>8</v>
      </c>
      <c r="L20" s="12" t="s">
        <v>11</v>
      </c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I21" s="11" t="s">
        <v>47</v>
      </c>
      <c r="J21" s="12">
        <v>-12.5</v>
      </c>
      <c r="K21" s="11" t="s">
        <v>8</v>
      </c>
      <c r="L21" s="12" t="s">
        <v>11</v>
      </c>
    </row>
    <row r="22" spans="1:13" ht="14">
      <c r="C22"/>
      <c r="D22"/>
      <c r="E22"/>
      <c r="F22" t="s">
        <v>44</v>
      </c>
      <c r="I22" s="11" t="s">
        <v>13</v>
      </c>
      <c r="J22" s="12">
        <v>-37</v>
      </c>
      <c r="K22" s="11" t="s">
        <v>8</v>
      </c>
      <c r="L22" s="12"/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</v>
      </c>
      <c r="L23" s="12" t="s">
        <v>11</v>
      </c>
    </row>
    <row r="24" spans="1:13">
      <c r="C24" s="31"/>
      <c r="E24"/>
      <c r="F24"/>
      <c r="G24" s="3">
        <f>SUM(G20:G23)-G19</f>
        <v>-922</v>
      </c>
      <c r="I24" s="11" t="s">
        <v>380</v>
      </c>
      <c r="J24" s="12">
        <v>-282</v>
      </c>
      <c r="K24" s="11" t="s">
        <v>8</v>
      </c>
      <c r="L24" s="12" t="s">
        <v>11</v>
      </c>
    </row>
    <row r="25" spans="1:13">
      <c r="C25" s="31"/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/>
      <c r="E26" s="32"/>
      <c r="I26" s="11" t="s">
        <v>54</v>
      </c>
      <c r="J26" s="12">
        <v>-60</v>
      </c>
      <c r="K26" s="11" t="s">
        <v>8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</v>
      </c>
      <c r="L27" s="12"/>
    </row>
    <row r="28" spans="1:13">
      <c r="C28" s="31"/>
      <c r="E28" s="32"/>
      <c r="I28" s="11" t="s">
        <v>381</v>
      </c>
      <c r="J28" s="12">
        <v>-20</v>
      </c>
      <c r="K28" s="11" t="s">
        <v>8</v>
      </c>
      <c r="L28" s="12"/>
    </row>
    <row r="29" spans="1:13">
      <c r="C29" s="31"/>
      <c r="E29" s="32"/>
      <c r="I29" s="11" t="s">
        <v>376</v>
      </c>
      <c r="J29" s="12">
        <v>-24</v>
      </c>
      <c r="K29" s="11" t="s">
        <v>8</v>
      </c>
      <c r="L29" s="12"/>
      <c r="M29" s="15"/>
    </row>
    <row r="30" spans="1:13">
      <c r="C30" s="31"/>
      <c r="E30" s="32"/>
      <c r="I30" s="11" t="s">
        <v>57</v>
      </c>
      <c r="J30" s="12">
        <v>-30</v>
      </c>
      <c r="K30" s="11" t="s">
        <v>8</v>
      </c>
      <c r="L30" s="12" t="s">
        <v>11</v>
      </c>
    </row>
    <row r="31" spans="1:13">
      <c r="A31" s="14"/>
      <c r="B31" s="14"/>
      <c r="C31" s="31"/>
      <c r="E31" s="32"/>
      <c r="I31" s="11" t="s">
        <v>382</v>
      </c>
      <c r="J31" s="12">
        <v>-10</v>
      </c>
      <c r="K31" s="11" t="s">
        <v>8</v>
      </c>
      <c r="L31" s="12"/>
    </row>
    <row r="32" spans="1:13">
      <c r="C32" s="31"/>
      <c r="E32" s="32"/>
      <c r="H32" s="30"/>
      <c r="I32" s="11" t="s">
        <v>383</v>
      </c>
      <c r="J32" s="12">
        <v>-50</v>
      </c>
      <c r="K32" s="11" t="s">
        <v>8</v>
      </c>
      <c r="L32" s="12"/>
    </row>
    <row r="33" spans="8:12">
      <c r="H33" s="30"/>
      <c r="I33" s="11" t="s">
        <v>109</v>
      </c>
      <c r="J33" s="12">
        <v>-1625</v>
      </c>
      <c r="K33" s="11" t="s">
        <v>8</v>
      </c>
      <c r="L33" s="12"/>
    </row>
    <row r="34" spans="8:12">
      <c r="H34" s="30"/>
      <c r="K34" s="82" t="s">
        <v>8</v>
      </c>
    </row>
    <row r="35" spans="8:12">
      <c r="H35" s="30"/>
      <c r="K35" s="82" t="s">
        <v>8</v>
      </c>
    </row>
    <row r="36" spans="8:12">
      <c r="H36" s="30"/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24000000}"/>
  <conditionalFormatting sqref="I3:L3 I4:J12 L4:L32 K4:K35 I13 I14:J32">
    <cfRule type="expression" dxfId="12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6"/>
  <dimension ref="A1:IS48"/>
  <sheetViews>
    <sheetView zoomScale="160" zoomScaleNormal="160" workbookViewId="0">
      <selection activeCell="F5" sqref="F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58203125" style="2" bestFit="1" customWidth="1"/>
    <col min="6" max="6" width="16.08203125" style="3" bestFit="1" customWidth="1"/>
    <col min="7" max="7" width="17.5" style="3" bestFit="1" customWidth="1"/>
    <col min="8" max="8" width="1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3882.31</v>
      </c>
      <c r="E3" s="3"/>
      <c r="F3" s="7" t="s">
        <v>1</v>
      </c>
      <c r="G3" s="4">
        <v>40</v>
      </c>
      <c r="I3" s="11" t="s">
        <v>7</v>
      </c>
      <c r="J3" s="12">
        <v>-852.98</v>
      </c>
      <c r="K3" s="11" t="s">
        <v>87</v>
      </c>
      <c r="L3" s="12"/>
    </row>
    <row r="4" spans="3:12">
      <c r="C4" s="187" t="s">
        <v>9</v>
      </c>
      <c r="D4" s="188">
        <f>SUMIF(K3:K29,"Yes*",J3:J29)</f>
        <v>-3784.59</v>
      </c>
      <c r="E4" s="3"/>
      <c r="F4" s="6" t="s">
        <v>384</v>
      </c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104" t="s">
        <v>12</v>
      </c>
      <c r="D5" s="105">
        <v>34.799999999999997</v>
      </c>
      <c r="E5" s="3"/>
      <c r="F5" s="24" t="s">
        <v>13</v>
      </c>
      <c r="G5" s="25">
        <v>67</v>
      </c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189" t="s">
        <v>15</v>
      </c>
      <c r="D6" s="190">
        <f>SUMIF(K3:K33,"No",J3:J33)</f>
        <v>-34.4</v>
      </c>
      <c r="E6" s="3"/>
      <c r="F6" s="24" t="s">
        <v>385</v>
      </c>
      <c r="G6" s="25"/>
      <c r="I6" s="11" t="s">
        <v>17</v>
      </c>
      <c r="J6" s="12">
        <v>-24.82</v>
      </c>
      <c r="K6" s="11" t="s">
        <v>87</v>
      </c>
      <c r="L6" s="12"/>
    </row>
    <row r="7" spans="3:12" ht="15" thickBot="1">
      <c r="C7" s="28" t="s">
        <v>18</v>
      </c>
      <c r="D7" s="29">
        <f>D6+D5</f>
        <v>0.39999999999999858</v>
      </c>
      <c r="E7" s="3" t="s">
        <v>19</v>
      </c>
      <c r="F7" s="26" t="s">
        <v>28</v>
      </c>
      <c r="G7" s="27">
        <f>SUM(G3:G6)</f>
        <v>107</v>
      </c>
      <c r="I7" s="11" t="s">
        <v>21</v>
      </c>
      <c r="J7" s="12">
        <v>-13.2</v>
      </c>
      <c r="K7" s="11" t="s">
        <v>87</v>
      </c>
      <c r="L7" s="12"/>
    </row>
    <row r="8" spans="3:12" ht="15" thickBot="1">
      <c r="C8" s="107" t="s">
        <v>22</v>
      </c>
      <c r="D8" s="191">
        <f>SUMIF(L3:L33,"f",J3:J33)</f>
        <v>-2157.3000000000002</v>
      </c>
      <c r="E8" s="30"/>
      <c r="I8" s="11" t="s">
        <v>24</v>
      </c>
      <c r="J8" s="12">
        <v>-85</v>
      </c>
      <c r="K8" s="11" t="s">
        <v>87</v>
      </c>
      <c r="L8" s="12"/>
    </row>
    <row r="9" spans="3:12">
      <c r="C9" s="31"/>
      <c r="E9" s="30"/>
      <c r="I9" s="11" t="s">
        <v>25</v>
      </c>
      <c r="J9" s="12">
        <v>-27</v>
      </c>
      <c r="K9" s="11" t="s">
        <v>8</v>
      </c>
      <c r="L9" s="12"/>
    </row>
    <row r="10" spans="3:12">
      <c r="C10" s="31"/>
      <c r="E10"/>
      <c r="F10"/>
      <c r="G10" s="9"/>
      <c r="I10" s="11" t="s">
        <v>27</v>
      </c>
      <c r="J10" s="12">
        <v>-16.989999999999998</v>
      </c>
      <c r="K10" s="11" t="s">
        <v>87</v>
      </c>
      <c r="L10" s="12"/>
    </row>
    <row r="11" spans="3:12" ht="14">
      <c r="C11"/>
      <c r="D11"/>
      <c r="E11"/>
      <c r="F11" s="77"/>
      <c r="G11" s="9"/>
      <c r="I11" s="11" t="s">
        <v>29</v>
      </c>
      <c r="J11" s="12">
        <v>-300</v>
      </c>
      <c r="K11" s="11" t="s">
        <v>87</v>
      </c>
      <c r="L11" s="12"/>
    </row>
    <row r="12" spans="3:12" ht="14">
      <c r="C12"/>
      <c r="D12"/>
      <c r="E12"/>
      <c r="F12" s="77"/>
      <c r="I12" s="11" t="s">
        <v>30</v>
      </c>
      <c r="J12" s="12">
        <v>-13.99</v>
      </c>
      <c r="K12" s="11" t="s">
        <v>87</v>
      </c>
      <c r="L12" s="12"/>
    </row>
    <row r="13" spans="3:12" ht="14">
      <c r="C13"/>
      <c r="D13"/>
      <c r="E13"/>
      <c r="F13" s="77"/>
      <c r="I13" s="11" t="s">
        <v>32</v>
      </c>
      <c r="J13" s="101">
        <v>-0.5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-28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2600</v>
      </c>
      <c r="I19" s="11" t="s">
        <v>42</v>
      </c>
      <c r="J19" s="12">
        <v>-610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580</v>
      </c>
      <c r="I20" s="11" t="s">
        <v>379</v>
      </c>
      <c r="J20" s="12">
        <v>-300</v>
      </c>
      <c r="K20" s="11" t="s">
        <v>87</v>
      </c>
      <c r="L20" s="12" t="s">
        <v>11</v>
      </c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G21" s="3">
        <v>400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G22" s="3">
        <v>500</v>
      </c>
      <c r="I22" s="11" t="s">
        <v>13</v>
      </c>
      <c r="J22" s="12">
        <v>-39</v>
      </c>
      <c r="K22" s="11" t="s">
        <v>87</v>
      </c>
      <c r="L22" s="12"/>
    </row>
    <row r="23" spans="1:13">
      <c r="C23" s="31"/>
      <c r="E23"/>
      <c r="F23" t="s">
        <v>44</v>
      </c>
      <c r="I23" s="11" t="s">
        <v>49</v>
      </c>
      <c r="J23" s="12">
        <v>-900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-1120</v>
      </c>
      <c r="I24" s="11" t="s">
        <v>386</v>
      </c>
      <c r="J24" s="12"/>
      <c r="K24" s="11" t="s">
        <v>8</v>
      </c>
      <c r="L24" s="12" t="s">
        <v>11</v>
      </c>
    </row>
    <row r="25" spans="1:13">
      <c r="C25" s="31"/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/>
      <c r="E26" s="32"/>
      <c r="I26" s="11" t="s">
        <v>54</v>
      </c>
      <c r="J26" s="12">
        <v>-60</v>
      </c>
      <c r="K26" s="11" t="s">
        <v>87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/>
      <c r="E28" s="32"/>
      <c r="I28" s="11" t="s">
        <v>387</v>
      </c>
      <c r="J28" s="12"/>
      <c r="K28" s="11" t="s">
        <v>8</v>
      </c>
      <c r="L28" s="12"/>
    </row>
    <row r="29" spans="1:13">
      <c r="C29" s="31"/>
      <c r="E29" s="32"/>
      <c r="I29" s="11" t="s">
        <v>60</v>
      </c>
      <c r="J29" s="12"/>
      <c r="K29" s="11" t="s">
        <v>8</v>
      </c>
      <c r="L29" s="12"/>
      <c r="M29" s="15"/>
    </row>
    <row r="30" spans="1:13">
      <c r="C30" s="31"/>
      <c r="E30" s="32"/>
      <c r="I30" s="11" t="s">
        <v>57</v>
      </c>
      <c r="J30" s="12">
        <v>-30</v>
      </c>
      <c r="K30" s="11" t="s">
        <v>87</v>
      </c>
      <c r="L30" s="12" t="s">
        <v>11</v>
      </c>
    </row>
    <row r="31" spans="1:13">
      <c r="A31" s="14"/>
      <c r="B31" s="14"/>
      <c r="C31" s="31"/>
      <c r="E31" s="32"/>
      <c r="I31" s="11" t="s">
        <v>388</v>
      </c>
      <c r="J31" s="12">
        <v>-75</v>
      </c>
      <c r="K31" s="11" t="s">
        <v>87</v>
      </c>
      <c r="L31" s="12"/>
    </row>
    <row r="32" spans="1:13">
      <c r="C32" s="31"/>
      <c r="E32" s="32"/>
      <c r="H32" s="30"/>
      <c r="I32" s="11" t="s">
        <v>389</v>
      </c>
      <c r="J32" s="12"/>
      <c r="K32" s="11" t="s">
        <v>8</v>
      </c>
      <c r="L32" s="12"/>
    </row>
    <row r="33" spans="8:12">
      <c r="H33" s="30"/>
      <c r="I33" s="11"/>
      <c r="J33" s="12"/>
      <c r="K33" s="11" t="s">
        <v>8</v>
      </c>
      <c r="L33" s="12"/>
    </row>
    <row r="34" spans="8:12">
      <c r="H34" s="30"/>
    </row>
    <row r="35" spans="8:12">
      <c r="H35" s="30"/>
    </row>
    <row r="36" spans="8:12">
      <c r="H36" s="30"/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25000000}"/>
  <conditionalFormatting sqref="I3:L3 I4:J12 L4:L32 K4:K33 I13 I14:J32">
    <cfRule type="expression" dxfId="11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7"/>
  <dimension ref="A1:IS56"/>
  <sheetViews>
    <sheetView zoomScale="180" zoomScaleNormal="180" workbookViewId="0">
      <selection activeCell="F5" sqref="F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7.5" style="3" bestFit="1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>
      <c r="C1" s="31"/>
      <c r="E1" s="32"/>
    </row>
    <row r="2" spans="3:12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22" t="s">
        <v>6</v>
      </c>
      <c r="D3" s="23">
        <v>3882.31</v>
      </c>
      <c r="E3" s="3"/>
      <c r="F3" s="7" t="s">
        <v>1</v>
      </c>
      <c r="G3" s="4">
        <v>45</v>
      </c>
      <c r="I3" s="11" t="s">
        <v>7</v>
      </c>
      <c r="J3" s="12">
        <v>-852.98</v>
      </c>
      <c r="K3" s="11" t="s">
        <v>87</v>
      </c>
      <c r="L3" s="12"/>
    </row>
    <row r="4" spans="3:12">
      <c r="C4" s="197" t="s">
        <v>9</v>
      </c>
      <c r="D4" s="192">
        <f>SUMIF(K3:K29,"Yes*",J3:J29)</f>
        <v>-3651.07</v>
      </c>
      <c r="E4" s="3"/>
      <c r="F4" s="6" t="s">
        <v>390</v>
      </c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22" t="s">
        <v>12</v>
      </c>
      <c r="D5" s="23">
        <v>77.400000000000006</v>
      </c>
      <c r="E5" s="3"/>
      <c r="F5" s="24" t="s">
        <v>111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96" t="s">
        <v>15</v>
      </c>
      <c r="D6" s="198">
        <f>SUMIF(K3:K40,"No",J3:J40)</f>
        <v>0</v>
      </c>
      <c r="E6" s="3"/>
      <c r="F6" s="24" t="s">
        <v>385</v>
      </c>
      <c r="G6" s="25"/>
      <c r="I6" s="11" t="s">
        <v>17</v>
      </c>
      <c r="J6" s="12">
        <v>-24.82</v>
      </c>
      <c r="K6" s="11" t="s">
        <v>87</v>
      </c>
      <c r="L6" s="12"/>
    </row>
    <row r="7" spans="3:12" ht="15" thickBot="1">
      <c r="C7" s="28" t="s">
        <v>18</v>
      </c>
      <c r="D7" s="29">
        <f>D6+D5</f>
        <v>77.400000000000006</v>
      </c>
      <c r="E7" s="3" t="s">
        <v>19</v>
      </c>
      <c r="F7" s="26" t="s">
        <v>28</v>
      </c>
      <c r="G7" s="27">
        <f>SUM(G3:G6)</f>
        <v>45</v>
      </c>
      <c r="I7" s="11" t="s">
        <v>21</v>
      </c>
      <c r="J7" s="12">
        <v>-13.2</v>
      </c>
      <c r="K7" s="11" t="s">
        <v>87</v>
      </c>
      <c r="L7" s="12"/>
    </row>
    <row r="8" spans="3:12">
      <c r="C8" s="8"/>
      <c r="D8" s="31"/>
      <c r="E8" s="30"/>
      <c r="I8" s="11" t="s">
        <v>24</v>
      </c>
      <c r="J8" s="12">
        <v>-85</v>
      </c>
      <c r="K8" s="11" t="s">
        <v>87</v>
      </c>
      <c r="L8" s="12"/>
    </row>
    <row r="9" spans="3:12">
      <c r="C9" s="31"/>
      <c r="E9" s="30"/>
      <c r="I9" s="11" t="s">
        <v>25</v>
      </c>
      <c r="J9" s="12">
        <v>-27</v>
      </c>
      <c r="K9" s="11" t="s">
        <v>87</v>
      </c>
      <c r="L9" s="12"/>
    </row>
    <row r="10" spans="3:12">
      <c r="C10" s="96" t="s">
        <v>22</v>
      </c>
      <c r="D10" s="198">
        <f>SUMIF(L3:L40,"f",J3:J40)</f>
        <v>-1960.3</v>
      </c>
      <c r="E10"/>
      <c r="F10"/>
      <c r="G10" s="9"/>
      <c r="I10" s="11" t="s">
        <v>27</v>
      </c>
      <c r="J10" s="12">
        <v>-16.989999999999998</v>
      </c>
      <c r="K10" s="11" t="s">
        <v>87</v>
      </c>
      <c r="L10" s="12"/>
    </row>
    <row r="11" spans="3:12" ht="14">
      <c r="C11"/>
      <c r="D11"/>
      <c r="E11"/>
      <c r="F11" s="77"/>
      <c r="G11" s="9">
        <f>G3-250</f>
        <v>-205</v>
      </c>
      <c r="I11" s="11" t="s">
        <v>29</v>
      </c>
      <c r="J11" s="12">
        <v>-300</v>
      </c>
      <c r="K11" s="11" t="s">
        <v>87</v>
      </c>
      <c r="L11" s="12"/>
    </row>
    <row r="12" spans="3:12" ht="14">
      <c r="C12"/>
      <c r="D12"/>
      <c r="E12"/>
      <c r="F12" s="77"/>
      <c r="I12" s="11" t="s">
        <v>30</v>
      </c>
      <c r="J12" s="12">
        <v>-13.99</v>
      </c>
      <c r="K12" s="11" t="s">
        <v>87</v>
      </c>
      <c r="L12" s="12"/>
    </row>
    <row r="13" spans="3:12" ht="14">
      <c r="C13"/>
      <c r="D13"/>
      <c r="E13"/>
      <c r="F13" s="77"/>
      <c r="I13" s="11" t="s">
        <v>32</v>
      </c>
      <c r="J13" s="101">
        <v>-38.58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-28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2600</v>
      </c>
      <c r="I19" s="11" t="s">
        <v>42</v>
      </c>
      <c r="J19" s="12">
        <v>-600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580</v>
      </c>
      <c r="I20" s="11" t="s">
        <v>379</v>
      </c>
      <c r="J20" s="12">
        <v>-255</v>
      </c>
      <c r="K20" s="11" t="s">
        <v>87</v>
      </c>
      <c r="L20" s="12" t="s">
        <v>11</v>
      </c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G21" s="3">
        <v>400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G22" s="3">
        <v>500</v>
      </c>
      <c r="I22" s="11" t="s">
        <v>13</v>
      </c>
      <c r="J22" s="12">
        <v>-30</v>
      </c>
      <c r="K22" s="11" t="s">
        <v>87</v>
      </c>
      <c r="L22" s="12"/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-1120</v>
      </c>
      <c r="I24" s="11" t="s">
        <v>386</v>
      </c>
      <c r="J24" s="12">
        <v>-10</v>
      </c>
      <c r="K24" s="11" t="s">
        <v>87</v>
      </c>
      <c r="L24" s="12" t="s">
        <v>11</v>
      </c>
    </row>
    <row r="25" spans="1:13">
      <c r="C25" s="31"/>
      <c r="E25" s="32"/>
      <c r="I25" s="11" t="s">
        <v>52</v>
      </c>
      <c r="J25" s="12">
        <v>-7.4</v>
      </c>
      <c r="K25" s="11" t="s">
        <v>87</v>
      </c>
      <c r="L25" s="12"/>
    </row>
    <row r="26" spans="1:13">
      <c r="C26" s="31"/>
      <c r="E26" s="32"/>
      <c r="I26" s="11" t="s">
        <v>54</v>
      </c>
      <c r="J26" s="12">
        <v>-58</v>
      </c>
      <c r="K26" s="11" t="s">
        <v>87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/>
      <c r="E28" s="32"/>
      <c r="I28" s="11" t="s">
        <v>387</v>
      </c>
      <c r="J28" s="12"/>
      <c r="K28" s="11" t="s">
        <v>8</v>
      </c>
      <c r="L28" s="12"/>
    </row>
    <row r="29" spans="1:13">
      <c r="C29" s="31"/>
      <c r="E29" s="32"/>
      <c r="G29" s="3" t="s">
        <v>391</v>
      </c>
      <c r="I29" s="11" t="s">
        <v>60</v>
      </c>
      <c r="J29" s="12"/>
      <c r="K29" s="11" t="s">
        <v>8</v>
      </c>
      <c r="L29" s="12"/>
      <c r="M29" s="15"/>
    </row>
    <row r="30" spans="1:13">
      <c r="C30" s="31"/>
      <c r="E30" s="32"/>
      <c r="I30" s="11" t="s">
        <v>57</v>
      </c>
      <c r="J30" s="12">
        <v>-30</v>
      </c>
      <c r="K30" s="11" t="s">
        <v>87</v>
      </c>
      <c r="L30" s="12" t="s">
        <v>11</v>
      </c>
    </row>
    <row r="31" spans="1:13">
      <c r="A31" s="14"/>
      <c r="B31" s="14"/>
      <c r="C31" s="31"/>
      <c r="E31" s="32"/>
      <c r="G31" s="3" t="s">
        <v>392</v>
      </c>
      <c r="I31" s="11" t="s">
        <v>382</v>
      </c>
      <c r="J31" s="12">
        <v>-10</v>
      </c>
      <c r="K31" s="11" t="s">
        <v>87</v>
      </c>
      <c r="L31" s="12"/>
    </row>
    <row r="32" spans="1:13">
      <c r="C32" s="31"/>
      <c r="E32" s="32"/>
      <c r="H32" s="30"/>
      <c r="I32" s="11" t="s">
        <v>389</v>
      </c>
      <c r="J32" s="12">
        <v>-10</v>
      </c>
      <c r="K32" s="11" t="s">
        <v>87</v>
      </c>
      <c r="L32" s="12"/>
    </row>
    <row r="33" spans="8:12">
      <c r="H33" s="30"/>
      <c r="I33" s="11"/>
      <c r="J33" s="12"/>
      <c r="K33" s="11" t="s">
        <v>8</v>
      </c>
      <c r="L33" s="12"/>
    </row>
    <row r="34" spans="8:12">
      <c r="H34" s="30"/>
      <c r="I34" s="11"/>
      <c r="J34" s="12"/>
      <c r="K34" s="11" t="s">
        <v>8</v>
      </c>
      <c r="L34" s="12"/>
    </row>
    <row r="35" spans="8:12">
      <c r="H35" s="30"/>
      <c r="I35" s="11"/>
      <c r="J35" s="12"/>
      <c r="K35" s="11" t="s">
        <v>8</v>
      </c>
      <c r="L35" s="12"/>
    </row>
    <row r="36" spans="8:12">
      <c r="H36" s="30"/>
      <c r="I36" s="11"/>
      <c r="J36" s="12"/>
      <c r="K36" s="11" t="s">
        <v>8</v>
      </c>
      <c r="L36" s="12"/>
    </row>
    <row r="37" spans="8:12">
      <c r="H37" s="30"/>
      <c r="I37" s="11"/>
      <c r="J37" s="12"/>
      <c r="K37" s="11" t="s">
        <v>8</v>
      </c>
      <c r="L37" s="12"/>
    </row>
    <row r="38" spans="8:12">
      <c r="H38" s="30"/>
      <c r="I38" s="11"/>
      <c r="J38" s="12"/>
      <c r="K38" s="11" t="s">
        <v>8</v>
      </c>
      <c r="L38" s="12"/>
    </row>
    <row r="39" spans="8:12">
      <c r="H39" s="30"/>
      <c r="I39" s="11"/>
      <c r="J39" s="12"/>
      <c r="K39" s="11" t="s">
        <v>8</v>
      </c>
      <c r="L39" s="12"/>
    </row>
    <row r="40" spans="8:12">
      <c r="H40" s="30"/>
      <c r="I40" s="11"/>
      <c r="J40" s="12"/>
      <c r="K40" s="11" t="s">
        <v>8</v>
      </c>
      <c r="L40" s="12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L40" xr:uid="{00000000-0009-0000-0000-000026000000}"/>
  <conditionalFormatting sqref="I3:L12 I13 K13:L13 I14:L32">
    <cfRule type="expression" dxfId="10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8">
    <tabColor rgb="FF92D050"/>
  </sheetPr>
  <dimension ref="A1:IS56"/>
  <sheetViews>
    <sheetView zoomScale="115" zoomScaleNormal="115" workbookViewId="0">
      <selection activeCell="C14" sqref="C14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7.5" style="3" bestFit="1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>
      <c r="C1" s="31"/>
      <c r="E1" s="32"/>
    </row>
    <row r="2" spans="3:12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22" t="s">
        <v>6</v>
      </c>
      <c r="D3" s="23">
        <v>5316.06</v>
      </c>
      <c r="E3" s="3"/>
      <c r="F3" s="7" t="s">
        <v>1</v>
      </c>
      <c r="G3" s="4">
        <v>108</v>
      </c>
      <c r="I3" s="11" t="s">
        <v>7</v>
      </c>
      <c r="J3" s="12">
        <v>-852.98</v>
      </c>
      <c r="K3" s="11" t="s">
        <v>8</v>
      </c>
      <c r="L3" s="12"/>
    </row>
    <row r="4" spans="3:12">
      <c r="C4" s="197" t="s">
        <v>9</v>
      </c>
      <c r="D4" s="192">
        <f>SUMIF(K3:K29,"Yes*",J3:J29)</f>
        <v>0</v>
      </c>
      <c r="E4" s="3"/>
      <c r="F4" s="6" t="s">
        <v>86</v>
      </c>
      <c r="G4" s="5"/>
      <c r="I4" s="11" t="s">
        <v>10</v>
      </c>
      <c r="J4" s="12">
        <v>-244.8</v>
      </c>
      <c r="K4" s="11" t="s">
        <v>8</v>
      </c>
      <c r="L4" s="12" t="s">
        <v>11</v>
      </c>
    </row>
    <row r="5" spans="3:12">
      <c r="C5" s="22" t="s">
        <v>12</v>
      </c>
      <c r="D5" s="23">
        <v>5316.06</v>
      </c>
      <c r="E5" s="3"/>
      <c r="F5" s="24" t="s">
        <v>111</v>
      </c>
      <c r="G5" s="25"/>
      <c r="H5" s="9"/>
      <c r="I5" s="11" t="s">
        <v>14</v>
      </c>
      <c r="J5" s="12">
        <v>-25.56</v>
      </c>
      <c r="K5" s="11" t="s">
        <v>8</v>
      </c>
      <c r="L5" s="12"/>
    </row>
    <row r="6" spans="3:12" ht="15" thickBot="1">
      <c r="C6" s="96" t="s">
        <v>15</v>
      </c>
      <c r="D6" s="198">
        <f>SUMIF(K3:K40,"No",J3:J40)</f>
        <v>-3615.97</v>
      </c>
      <c r="E6" s="3"/>
      <c r="F6" s="24" t="s">
        <v>385</v>
      </c>
      <c r="G6" s="25"/>
      <c r="I6" s="11" t="s">
        <v>17</v>
      </c>
      <c r="J6" s="12">
        <v>-16.3</v>
      </c>
      <c r="K6" s="11" t="s">
        <v>8</v>
      </c>
      <c r="L6" s="12"/>
    </row>
    <row r="7" spans="3:12" ht="15" thickBot="1">
      <c r="C7" s="28" t="s">
        <v>18</v>
      </c>
      <c r="D7" s="29">
        <f>D6+D5</f>
        <v>1700.0900000000006</v>
      </c>
      <c r="E7" s="3" t="s">
        <v>19</v>
      </c>
      <c r="F7" s="26" t="s">
        <v>28</v>
      </c>
      <c r="G7" s="27">
        <f>SUM(G3:G6)</f>
        <v>108</v>
      </c>
      <c r="I7" s="11" t="s">
        <v>21</v>
      </c>
      <c r="J7" s="12">
        <v>-13.2</v>
      </c>
      <c r="K7" s="11" t="s">
        <v>8</v>
      </c>
      <c r="L7" s="12"/>
    </row>
    <row r="8" spans="3:12" ht="16.5">
      <c r="C8" s="8"/>
      <c r="D8" s="97"/>
      <c r="E8" s="30"/>
      <c r="I8" s="11" t="s">
        <v>24</v>
      </c>
      <c r="J8" s="12">
        <v>-85</v>
      </c>
      <c r="K8" s="11" t="s">
        <v>8</v>
      </c>
      <c r="L8" s="12"/>
    </row>
    <row r="9" spans="3:12">
      <c r="C9" s="31"/>
      <c r="E9" s="30"/>
      <c r="I9" s="11" t="s">
        <v>25</v>
      </c>
      <c r="J9" s="12">
        <v>-27</v>
      </c>
      <c r="K9" s="11" t="s">
        <v>8</v>
      </c>
      <c r="L9" s="12"/>
    </row>
    <row r="10" spans="3:12">
      <c r="C10" s="100" t="s">
        <v>22</v>
      </c>
      <c r="D10" s="196">
        <f>SUMIF(L3:L40,"f",J3:J40)</f>
        <v>-1943.3</v>
      </c>
      <c r="E10"/>
      <c r="F10"/>
      <c r="G10" s="9"/>
      <c r="I10" s="11" t="s">
        <v>27</v>
      </c>
      <c r="J10" s="12">
        <v>-15</v>
      </c>
      <c r="K10" s="11" t="s">
        <v>8</v>
      </c>
      <c r="L10" s="12"/>
    </row>
    <row r="11" spans="3:12" ht="14">
      <c r="C11"/>
      <c r="D11"/>
      <c r="E11"/>
      <c r="F11" s="77"/>
      <c r="G11" s="9">
        <f>G3-250</f>
        <v>-142</v>
      </c>
      <c r="I11" s="11" t="s">
        <v>29</v>
      </c>
      <c r="J11" s="12">
        <v>-300</v>
      </c>
      <c r="K11" s="11" t="s">
        <v>8</v>
      </c>
      <c r="L11" s="12"/>
    </row>
    <row r="12" spans="3:12">
      <c r="C12" t="s">
        <v>393</v>
      </c>
      <c r="D12" s="23">
        <v>3787.38</v>
      </c>
      <c r="E12"/>
      <c r="F12" s="98" t="s">
        <v>394</v>
      </c>
      <c r="I12" s="11" t="s">
        <v>30</v>
      </c>
      <c r="J12" s="12">
        <v>-13.99</v>
      </c>
      <c r="K12" s="11" t="s">
        <v>8</v>
      </c>
      <c r="L12" s="12"/>
    </row>
    <row r="13" spans="3:12">
      <c r="C13" s="3" t="s">
        <v>395</v>
      </c>
      <c r="D13" s="23">
        <v>3997.36</v>
      </c>
      <c r="E13"/>
      <c r="F13" s="98" t="s">
        <v>396</v>
      </c>
      <c r="G13" s="3">
        <v>496</v>
      </c>
      <c r="I13" s="11" t="s">
        <v>32</v>
      </c>
      <c r="J13" s="12">
        <v>-25</v>
      </c>
      <c r="K13" s="11" t="s">
        <v>8</v>
      </c>
      <c r="L13" s="12"/>
    </row>
    <row r="14" spans="3:12">
      <c r="C14">
        <v>75</v>
      </c>
      <c r="D14" s="23">
        <v>4349.3999999999996</v>
      </c>
      <c r="E14"/>
      <c r="F14" s="3" t="s">
        <v>397</v>
      </c>
      <c r="G14" s="99">
        <v>129.19999999999999</v>
      </c>
      <c r="I14" s="11" t="s">
        <v>33</v>
      </c>
      <c r="J14" s="12">
        <v>-198</v>
      </c>
      <c r="K14" s="11" t="s">
        <v>8</v>
      </c>
      <c r="L14" s="12"/>
    </row>
    <row r="15" spans="3:12" ht="14">
      <c r="C15" s="88" t="s">
        <v>7</v>
      </c>
      <c r="D15"/>
      <c r="E15"/>
      <c r="F15" s="98" t="s">
        <v>398</v>
      </c>
      <c r="G15" s="3">
        <v>69</v>
      </c>
      <c r="I15" s="11" t="s">
        <v>34</v>
      </c>
      <c r="J15" s="12">
        <v>-16</v>
      </c>
      <c r="K15" s="11" t="s">
        <v>8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-28</v>
      </c>
      <c r="K17" s="11" t="s">
        <v>8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2600</v>
      </c>
      <c r="I19" s="11" t="s">
        <v>42</v>
      </c>
      <c r="J19" s="12">
        <v>-400</v>
      </c>
      <c r="K19" s="11" t="s">
        <v>8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580</v>
      </c>
      <c r="I20" s="11" t="s">
        <v>394</v>
      </c>
      <c r="J20" s="12">
        <v>-496</v>
      </c>
      <c r="K20" s="11" t="s">
        <v>8</v>
      </c>
      <c r="L20" s="12" t="s">
        <v>11</v>
      </c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G21" s="3">
        <v>400</v>
      </c>
      <c r="I21" s="11" t="s">
        <v>47</v>
      </c>
      <c r="J21" s="12">
        <v>-12.5</v>
      </c>
      <c r="K21" s="11" t="s">
        <v>8</v>
      </c>
      <c r="L21" s="12" t="s">
        <v>11</v>
      </c>
    </row>
    <row r="22" spans="1:13" ht="14">
      <c r="C22"/>
      <c r="D22"/>
      <c r="E22"/>
      <c r="F22" t="s">
        <v>44</v>
      </c>
      <c r="I22" s="11" t="s">
        <v>13</v>
      </c>
      <c r="J22" s="12"/>
      <c r="K22" s="11" t="s">
        <v>8</v>
      </c>
      <c r="L22" s="12"/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</v>
      </c>
      <c r="L23" s="12" t="s">
        <v>11</v>
      </c>
    </row>
    <row r="24" spans="1:13">
      <c r="C24" s="31"/>
      <c r="E24"/>
      <c r="F24"/>
      <c r="G24" s="3">
        <f>SUM(G20:G23)-G19</f>
        <v>-1620</v>
      </c>
      <c r="I24" s="11" t="s">
        <v>386</v>
      </c>
      <c r="J24" s="12">
        <v>-10</v>
      </c>
      <c r="K24" s="11" t="s">
        <v>8</v>
      </c>
      <c r="L24" s="12" t="s">
        <v>11</v>
      </c>
    </row>
    <row r="25" spans="1:13">
      <c r="C25" s="31"/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/>
      <c r="E26" s="32"/>
      <c r="I26" s="11" t="s">
        <v>54</v>
      </c>
      <c r="J26" s="12"/>
      <c r="K26" s="11" t="s">
        <v>8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</v>
      </c>
      <c r="L27" s="12"/>
    </row>
    <row r="28" spans="1:13">
      <c r="C28" s="31"/>
      <c r="E28" s="32"/>
      <c r="I28" s="11" t="s">
        <v>387</v>
      </c>
      <c r="J28" s="12">
        <v>-5.99</v>
      </c>
      <c r="K28" s="11" t="s">
        <v>8</v>
      </c>
      <c r="L28" s="12"/>
    </row>
    <row r="29" spans="1:13">
      <c r="C29" s="31"/>
      <c r="E29" s="32"/>
      <c r="G29" s="3" t="s">
        <v>391</v>
      </c>
      <c r="I29" s="11" t="s">
        <v>60</v>
      </c>
      <c r="J29" s="12"/>
      <c r="K29" s="11" t="s">
        <v>8</v>
      </c>
      <c r="L29" s="12"/>
      <c r="M29" s="15"/>
    </row>
    <row r="30" spans="1:13">
      <c r="C30" s="31"/>
      <c r="E30" s="32"/>
      <c r="I30" s="11" t="s">
        <v>57</v>
      </c>
      <c r="J30" s="12">
        <v>-30</v>
      </c>
      <c r="K30" s="11" t="s">
        <v>8</v>
      </c>
      <c r="L30" s="12" t="s">
        <v>11</v>
      </c>
    </row>
    <row r="31" spans="1:13">
      <c r="A31" s="14"/>
      <c r="B31" s="14"/>
      <c r="C31" s="31"/>
      <c r="E31" s="32"/>
      <c r="G31" s="3" t="s">
        <v>392</v>
      </c>
      <c r="I31" s="11" t="s">
        <v>399</v>
      </c>
      <c r="J31" s="12"/>
      <c r="K31" s="11" t="s">
        <v>8</v>
      </c>
      <c r="L31" s="12"/>
    </row>
    <row r="32" spans="1:13">
      <c r="C32" s="31"/>
      <c r="E32" s="32"/>
      <c r="H32" s="30"/>
      <c r="I32" s="11" t="s">
        <v>400</v>
      </c>
      <c r="J32" s="12"/>
      <c r="K32" s="11" t="s">
        <v>8</v>
      </c>
      <c r="L32" s="12"/>
    </row>
    <row r="33" spans="8:12">
      <c r="H33" s="30"/>
      <c r="I33" s="11"/>
      <c r="J33" s="12"/>
      <c r="K33" s="11" t="s">
        <v>8</v>
      </c>
      <c r="L33" s="12"/>
    </row>
    <row r="34" spans="8:12">
      <c r="H34" s="30"/>
      <c r="I34" s="11"/>
      <c r="J34" s="12"/>
      <c r="K34" s="11" t="s">
        <v>8</v>
      </c>
      <c r="L34" s="12"/>
    </row>
    <row r="35" spans="8:12">
      <c r="H35" s="30"/>
      <c r="I35" s="11"/>
      <c r="J35" s="12"/>
      <c r="K35" s="11" t="s">
        <v>8</v>
      </c>
      <c r="L35" s="12"/>
    </row>
    <row r="36" spans="8:12">
      <c r="H36" s="30"/>
      <c r="I36" s="11"/>
      <c r="J36" s="12"/>
      <c r="K36" s="11" t="s">
        <v>8</v>
      </c>
      <c r="L36" s="12"/>
    </row>
    <row r="37" spans="8:12">
      <c r="H37" s="30"/>
      <c r="I37" s="11"/>
      <c r="J37" s="12"/>
      <c r="K37" s="11" t="s">
        <v>8</v>
      </c>
      <c r="L37" s="12"/>
    </row>
    <row r="38" spans="8:12">
      <c r="H38" s="30"/>
      <c r="I38" s="11"/>
      <c r="J38" s="12"/>
      <c r="K38" s="11" t="s">
        <v>8</v>
      </c>
      <c r="L38" s="12"/>
    </row>
    <row r="39" spans="8:12">
      <c r="H39" s="30"/>
      <c r="I39" s="11"/>
      <c r="J39" s="12"/>
      <c r="K39" s="11" t="s">
        <v>8</v>
      </c>
      <c r="L39" s="12"/>
    </row>
    <row r="40" spans="8:12">
      <c r="H40" s="30"/>
      <c r="I40" s="11"/>
      <c r="J40" s="12"/>
      <c r="K40" s="11" t="s">
        <v>8</v>
      </c>
      <c r="L40" s="12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L40" xr:uid="{00000000-0009-0000-0000-000027000000}"/>
  <conditionalFormatting sqref="I3:L32">
    <cfRule type="expression" dxfId="9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9"/>
  <dimension ref="A1:IS56"/>
  <sheetViews>
    <sheetView zoomScale="180" zoomScaleNormal="180" workbookViewId="0">
      <selection activeCell="F5" sqref="F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7.5" style="3" bestFit="1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>
      <c r="C1" s="31"/>
      <c r="E1" s="32"/>
    </row>
    <row r="2" spans="3:12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22" t="s">
        <v>6</v>
      </c>
      <c r="D3" s="23">
        <v>4317.3100000000004</v>
      </c>
      <c r="E3" s="3"/>
      <c r="F3" s="7" t="s">
        <v>1</v>
      </c>
      <c r="G3" s="4">
        <v>90</v>
      </c>
      <c r="I3" s="11" t="s">
        <v>7</v>
      </c>
      <c r="J3" s="12">
        <v>-852.98</v>
      </c>
      <c r="K3" s="11" t="s">
        <v>87</v>
      </c>
      <c r="L3" s="12"/>
    </row>
    <row r="4" spans="3:12">
      <c r="C4" s="197" t="s">
        <v>9</v>
      </c>
      <c r="D4" s="192">
        <f>SUMIF(K3:K29,"Yes*",J3:J29)</f>
        <v>-4139.26</v>
      </c>
      <c r="E4" s="3"/>
      <c r="F4" s="6" t="s">
        <v>390</v>
      </c>
      <c r="G4" s="5">
        <v>50</v>
      </c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22" t="s">
        <v>12</v>
      </c>
      <c r="D5" s="23">
        <v>78.67</v>
      </c>
      <c r="E5" s="3"/>
      <c r="F5" s="24" t="s">
        <v>111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96" t="s">
        <v>15</v>
      </c>
      <c r="D6" s="198">
        <f>SUMIF(K3:K40,"No",J3:J40)</f>
        <v>-75.7</v>
      </c>
      <c r="E6" s="3"/>
      <c r="F6" s="24" t="s">
        <v>385</v>
      </c>
      <c r="G6" s="25"/>
      <c r="I6" s="11" t="s">
        <v>17</v>
      </c>
      <c r="J6" s="12">
        <v>-16.3</v>
      </c>
      <c r="K6" s="11" t="s">
        <v>8</v>
      </c>
      <c r="L6" s="12"/>
    </row>
    <row r="7" spans="3:12" ht="15" thickBot="1">
      <c r="C7" s="28" t="s">
        <v>18</v>
      </c>
      <c r="D7" s="29">
        <f>D6+D5</f>
        <v>2.9699999999999989</v>
      </c>
      <c r="E7" s="3" t="s">
        <v>19</v>
      </c>
      <c r="F7" s="26" t="s">
        <v>28</v>
      </c>
      <c r="G7" s="27">
        <f>SUM(G3:G6)</f>
        <v>140</v>
      </c>
      <c r="I7" s="11" t="s">
        <v>21</v>
      </c>
      <c r="J7" s="12">
        <v>-13.2</v>
      </c>
      <c r="K7" s="11" t="s">
        <v>87</v>
      </c>
      <c r="L7" s="12"/>
    </row>
    <row r="8" spans="3:12">
      <c r="C8" s="8"/>
      <c r="D8" s="31"/>
      <c r="E8" s="30"/>
      <c r="I8" s="11" t="s">
        <v>24</v>
      </c>
      <c r="J8" s="12">
        <v>-85</v>
      </c>
      <c r="K8" s="11" t="s">
        <v>87</v>
      </c>
      <c r="L8" s="12"/>
    </row>
    <row r="9" spans="3:12">
      <c r="C9" s="31"/>
      <c r="E9" s="30"/>
      <c r="I9" s="11" t="s">
        <v>25</v>
      </c>
      <c r="J9" s="12">
        <v>-27</v>
      </c>
      <c r="K9" s="11" t="s">
        <v>8</v>
      </c>
      <c r="L9" s="12"/>
    </row>
    <row r="10" spans="3:12">
      <c r="C10" s="96" t="s">
        <v>22</v>
      </c>
      <c r="D10" s="198">
        <f>SUMIF(L3:L40,"f",J3:J40)</f>
        <v>-2456.3000000000002</v>
      </c>
      <c r="E10"/>
      <c r="F10"/>
      <c r="G10" s="9"/>
      <c r="I10" s="11" t="s">
        <v>27</v>
      </c>
      <c r="J10" s="12">
        <v>-16.989999999999998</v>
      </c>
      <c r="K10" s="11" t="s">
        <v>87</v>
      </c>
      <c r="L10" s="12"/>
    </row>
    <row r="11" spans="3:12" ht="14">
      <c r="C11"/>
      <c r="D11"/>
      <c r="E11"/>
      <c r="F11" s="77"/>
      <c r="G11" s="9">
        <f>G3-250</f>
        <v>-160</v>
      </c>
      <c r="I11" s="11" t="s">
        <v>29</v>
      </c>
      <c r="J11" s="12">
        <v>-300</v>
      </c>
      <c r="K11" s="11" t="s">
        <v>87</v>
      </c>
      <c r="L11" s="12"/>
    </row>
    <row r="12" spans="3:12" ht="14">
      <c r="C12"/>
      <c r="D12"/>
      <c r="E12"/>
      <c r="F12" s="77"/>
      <c r="I12" s="11" t="s">
        <v>30</v>
      </c>
      <c r="J12" s="12">
        <v>-13.99</v>
      </c>
      <c r="K12" s="11" t="s">
        <v>87</v>
      </c>
      <c r="L12" s="12"/>
    </row>
    <row r="13" spans="3:12" ht="14">
      <c r="C13"/>
      <c r="D13"/>
      <c r="E13"/>
      <c r="F13" s="77"/>
      <c r="I13" s="11" t="s">
        <v>32</v>
      </c>
      <c r="J13" s="12">
        <v>-25</v>
      </c>
      <c r="K13" s="11" t="s">
        <v>8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-28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2600</v>
      </c>
      <c r="I19" s="11" t="s">
        <v>42</v>
      </c>
      <c r="J19" s="12">
        <v>-685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580</v>
      </c>
      <c r="I20" s="11" t="s">
        <v>379</v>
      </c>
      <c r="J20" s="12">
        <v>-600</v>
      </c>
      <c r="K20" s="11" t="s">
        <v>87</v>
      </c>
      <c r="L20" s="12" t="s">
        <v>11</v>
      </c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G21" s="3">
        <v>400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I22" s="11" t="s">
        <v>13</v>
      </c>
      <c r="J22" s="12">
        <v>-64</v>
      </c>
      <c r="K22" s="11" t="s">
        <v>87</v>
      </c>
      <c r="L22" s="12"/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-1620</v>
      </c>
      <c r="I24" s="11" t="s">
        <v>386</v>
      </c>
      <c r="J24" s="12">
        <v>-10</v>
      </c>
      <c r="K24" s="11" t="s">
        <v>87</v>
      </c>
      <c r="L24" s="12" t="s">
        <v>11</v>
      </c>
    </row>
    <row r="25" spans="1:13">
      <c r="C25" s="31"/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/>
      <c r="E26" s="32"/>
      <c r="I26" s="11" t="s">
        <v>54</v>
      </c>
      <c r="J26" s="12">
        <v>-124</v>
      </c>
      <c r="K26" s="11" t="s">
        <v>87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/>
      <c r="E28" s="32"/>
      <c r="I28" s="11" t="s">
        <v>387</v>
      </c>
      <c r="J28" s="12">
        <v>-5.99</v>
      </c>
      <c r="K28" s="11" t="s">
        <v>87</v>
      </c>
      <c r="L28" s="12"/>
    </row>
    <row r="29" spans="1:13">
      <c r="C29" s="31"/>
      <c r="E29" s="32"/>
      <c r="G29" s="3" t="s">
        <v>391</v>
      </c>
      <c r="I29" s="11" t="s">
        <v>60</v>
      </c>
      <c r="J29" s="12">
        <v>-50</v>
      </c>
      <c r="K29" s="11" t="s">
        <v>87</v>
      </c>
      <c r="L29" s="12"/>
      <c r="M29" s="15"/>
    </row>
    <row r="30" spans="1:13">
      <c r="C30" s="31"/>
      <c r="E30" s="32"/>
      <c r="I30" s="11" t="s">
        <v>57</v>
      </c>
      <c r="J30" s="12">
        <v>-30</v>
      </c>
      <c r="K30" s="11" t="s">
        <v>87</v>
      </c>
      <c r="L30" s="12" t="s">
        <v>11</v>
      </c>
    </row>
    <row r="31" spans="1:13">
      <c r="A31" s="14"/>
      <c r="B31" s="14"/>
      <c r="C31" s="31"/>
      <c r="E31" s="32"/>
      <c r="G31" s="3" t="s">
        <v>392</v>
      </c>
      <c r="I31" s="11" t="s">
        <v>25</v>
      </c>
      <c r="J31" s="12">
        <v>-28</v>
      </c>
      <c r="K31" s="11" t="s">
        <v>87</v>
      </c>
      <c r="L31" s="12"/>
    </row>
    <row r="32" spans="1:13">
      <c r="C32" s="31"/>
      <c r="E32" s="32"/>
      <c r="H32" s="30"/>
      <c r="I32" s="11" t="s">
        <v>400</v>
      </c>
      <c r="J32" s="12">
        <v>-7.4</v>
      </c>
      <c r="K32" s="11" t="s">
        <v>87</v>
      </c>
      <c r="L32" s="12"/>
    </row>
    <row r="33" spans="8:12">
      <c r="H33" s="30"/>
      <c r="I33" s="11"/>
      <c r="J33" s="12"/>
      <c r="K33" s="11"/>
      <c r="L33" s="12"/>
    </row>
    <row r="34" spans="8:12">
      <c r="H34" s="30"/>
      <c r="I34" s="11"/>
      <c r="J34" s="12"/>
      <c r="K34" s="11" t="s">
        <v>8</v>
      </c>
      <c r="L34" s="12"/>
    </row>
    <row r="35" spans="8:12">
      <c r="H35" s="30"/>
      <c r="I35" s="11"/>
      <c r="J35" s="12"/>
      <c r="K35" s="11" t="s">
        <v>8</v>
      </c>
      <c r="L35" s="12"/>
    </row>
    <row r="36" spans="8:12">
      <c r="H36" s="30"/>
      <c r="I36" s="11"/>
      <c r="J36" s="12"/>
      <c r="K36" s="11" t="s">
        <v>8</v>
      </c>
      <c r="L36" s="12"/>
    </row>
    <row r="37" spans="8:12">
      <c r="H37" s="30"/>
      <c r="I37" s="11"/>
      <c r="J37" s="12"/>
      <c r="K37" s="11" t="s">
        <v>8</v>
      </c>
      <c r="L37" s="12"/>
    </row>
    <row r="38" spans="8:12">
      <c r="H38" s="30"/>
      <c r="I38" s="11"/>
      <c r="J38" s="12"/>
      <c r="K38" s="11" t="s">
        <v>8</v>
      </c>
      <c r="L38" s="12"/>
    </row>
    <row r="39" spans="8:12">
      <c r="H39" s="30"/>
      <c r="I39" s="11"/>
      <c r="J39" s="12"/>
      <c r="K39" s="11" t="s">
        <v>8</v>
      </c>
      <c r="L39" s="12"/>
    </row>
    <row r="40" spans="8:12">
      <c r="H40" s="30"/>
      <c r="I40" s="11"/>
      <c r="J40" s="12"/>
      <c r="K40" s="11" t="s">
        <v>8</v>
      </c>
      <c r="L40" s="12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L40" xr:uid="{00000000-0009-0000-0000-000028000000}"/>
  <conditionalFormatting sqref="I3:L32">
    <cfRule type="expression" dxfId="8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0"/>
  <dimension ref="A1:IS56"/>
  <sheetViews>
    <sheetView zoomScale="180" zoomScaleNormal="180" workbookViewId="0">
      <selection activeCell="F5" sqref="F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7.5" style="3" bestFit="1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>
      <c r="C1" s="31"/>
      <c r="E1" s="32"/>
    </row>
    <row r="2" spans="3:12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22" t="s">
        <v>6</v>
      </c>
      <c r="D3" s="23">
        <v>4015.62</v>
      </c>
      <c r="E3" s="3"/>
      <c r="F3" s="7" t="s">
        <v>1</v>
      </c>
      <c r="G3" s="4">
        <v>58</v>
      </c>
      <c r="I3" s="11" t="s">
        <v>7</v>
      </c>
      <c r="J3" s="12">
        <v>-852.98</v>
      </c>
      <c r="K3" s="11" t="s">
        <v>87</v>
      </c>
      <c r="L3" s="12"/>
    </row>
    <row r="4" spans="3:12">
      <c r="C4" s="197" t="s">
        <v>9</v>
      </c>
      <c r="D4" s="192">
        <f>SUMIF(K3:K29,"Yes*",J3:J29)</f>
        <v>-3933.5699999999997</v>
      </c>
      <c r="E4" s="3"/>
      <c r="F4" s="6" t="s">
        <v>86</v>
      </c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22" t="s">
        <v>12</v>
      </c>
      <c r="D5" s="23">
        <v>76.680000000000007</v>
      </c>
      <c r="E5" s="3"/>
      <c r="F5" s="24" t="s">
        <v>111</v>
      </c>
      <c r="G5" s="25"/>
      <c r="H5" s="9"/>
      <c r="I5" s="11" t="s">
        <v>14</v>
      </c>
      <c r="J5" s="12">
        <v>-25.56</v>
      </c>
      <c r="K5" s="11" t="s">
        <v>87</v>
      </c>
      <c r="L5" s="12"/>
    </row>
    <row r="6" spans="3:12" ht="15" thickBot="1">
      <c r="C6" s="96" t="s">
        <v>15</v>
      </c>
      <c r="D6" s="198">
        <f>SUMIF(K3:K40,"No",J3:J40)</f>
        <v>-34.4</v>
      </c>
      <c r="E6" s="3"/>
      <c r="F6" s="24" t="s">
        <v>385</v>
      </c>
      <c r="G6" s="25"/>
      <c r="I6" s="11" t="s">
        <v>17</v>
      </c>
      <c r="J6" s="12">
        <v>-16.3</v>
      </c>
      <c r="K6" s="11" t="s">
        <v>87</v>
      </c>
      <c r="L6" s="12"/>
    </row>
    <row r="7" spans="3:12" ht="15" thickBot="1">
      <c r="C7" s="28" t="s">
        <v>18</v>
      </c>
      <c r="D7" s="29">
        <f>D6+D5</f>
        <v>42.280000000000008</v>
      </c>
      <c r="E7" s="3" t="s">
        <v>19</v>
      </c>
      <c r="F7" s="26" t="s">
        <v>28</v>
      </c>
      <c r="G7" s="27">
        <f>SUM(G3:G6)</f>
        <v>58</v>
      </c>
      <c r="I7" s="11" t="s">
        <v>21</v>
      </c>
      <c r="J7" s="12">
        <v>-13.2</v>
      </c>
      <c r="K7" s="11" t="s">
        <v>87</v>
      </c>
      <c r="L7" s="12"/>
    </row>
    <row r="8" spans="3:12">
      <c r="C8" s="8"/>
      <c r="D8" s="31"/>
      <c r="E8" s="30"/>
      <c r="I8" s="11" t="s">
        <v>24</v>
      </c>
      <c r="J8" s="12">
        <v>-85</v>
      </c>
      <c r="K8" s="11" t="s">
        <v>87</v>
      </c>
      <c r="L8" s="12"/>
    </row>
    <row r="9" spans="3:12">
      <c r="C9" s="31"/>
      <c r="E9" s="30"/>
      <c r="I9" s="11" t="s">
        <v>25</v>
      </c>
      <c r="J9" s="12">
        <v>-27</v>
      </c>
      <c r="K9" s="11" t="s">
        <v>8</v>
      </c>
      <c r="L9" s="12"/>
    </row>
    <row r="10" spans="3:12">
      <c r="C10" s="96" t="s">
        <v>22</v>
      </c>
      <c r="D10" s="198">
        <f>SUMIF(L3:L40,"f",J3:J40)</f>
        <v>-2265.3000000000002</v>
      </c>
      <c r="E10"/>
      <c r="F10"/>
      <c r="G10" s="9"/>
      <c r="I10" s="11" t="s">
        <v>27</v>
      </c>
      <c r="J10" s="12">
        <v>-15</v>
      </c>
      <c r="K10" s="11" t="s">
        <v>87</v>
      </c>
      <c r="L10" s="12"/>
    </row>
    <row r="11" spans="3:12" ht="14">
      <c r="C11"/>
      <c r="D11"/>
      <c r="E11"/>
      <c r="F11" s="77"/>
      <c r="G11" s="9">
        <f>G3-250</f>
        <v>-192</v>
      </c>
      <c r="I11" s="11" t="s">
        <v>29</v>
      </c>
      <c r="J11" s="12">
        <v>-300</v>
      </c>
      <c r="K11" s="11" t="s">
        <v>87</v>
      </c>
      <c r="L11" s="12"/>
    </row>
    <row r="12" spans="3:12" ht="14">
      <c r="C12"/>
      <c r="D12"/>
      <c r="E12"/>
      <c r="F12" s="77"/>
      <c r="I12" s="11" t="s">
        <v>30</v>
      </c>
      <c r="J12" s="12">
        <v>-13.99</v>
      </c>
      <c r="K12" s="11" t="s">
        <v>87</v>
      </c>
      <c r="L12" s="12"/>
    </row>
    <row r="13" spans="3:12" ht="14">
      <c r="C13"/>
      <c r="D13"/>
      <c r="E13"/>
      <c r="F13" s="77"/>
      <c r="I13" s="11" t="s">
        <v>32</v>
      </c>
      <c r="J13" s="12">
        <v>-25</v>
      </c>
      <c r="K13" s="11" t="s">
        <v>87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-28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2600</v>
      </c>
      <c r="I19" s="11" t="s">
        <v>42</v>
      </c>
      <c r="J19" s="12">
        <v>-590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580</v>
      </c>
      <c r="I20" s="11" t="s">
        <v>379</v>
      </c>
      <c r="J20" s="12">
        <v>-440</v>
      </c>
      <c r="K20" s="11" t="s">
        <v>87</v>
      </c>
      <c r="L20" s="12" t="s">
        <v>11</v>
      </c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G21" s="3">
        <v>400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I22" s="11" t="s">
        <v>401</v>
      </c>
      <c r="J22" s="12">
        <v>-18</v>
      </c>
      <c r="K22" s="11" t="s">
        <v>87</v>
      </c>
      <c r="L22" s="12" t="s">
        <v>11</v>
      </c>
    </row>
    <row r="23" spans="1:13">
      <c r="C23" s="31"/>
      <c r="E23"/>
      <c r="F23" t="s">
        <v>44</v>
      </c>
      <c r="I23" s="11" t="s">
        <v>49</v>
      </c>
      <c r="J23" s="12">
        <v>-900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-1620</v>
      </c>
      <c r="I24" s="11" t="s">
        <v>386</v>
      </c>
      <c r="J24" s="12">
        <v>-10</v>
      </c>
      <c r="K24" s="11" t="s">
        <v>87</v>
      </c>
      <c r="L24" s="12" t="s">
        <v>11</v>
      </c>
    </row>
    <row r="25" spans="1:13">
      <c r="C25" s="31"/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/>
      <c r="E26" s="32"/>
      <c r="I26" s="11" t="s">
        <v>54</v>
      </c>
      <c r="J26" s="12">
        <v>-50</v>
      </c>
      <c r="K26" s="11" t="s">
        <v>87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/>
      <c r="E28" s="32"/>
      <c r="I28" s="11" t="s">
        <v>387</v>
      </c>
      <c r="J28" s="12">
        <v>-5.99</v>
      </c>
      <c r="K28" s="11" t="s">
        <v>87</v>
      </c>
      <c r="L28" s="12"/>
    </row>
    <row r="29" spans="1:13">
      <c r="C29" s="31"/>
      <c r="E29" s="32"/>
      <c r="G29" s="3" t="s">
        <v>391</v>
      </c>
      <c r="I29" s="11" t="s">
        <v>60</v>
      </c>
      <c r="J29" s="12">
        <v>-30</v>
      </c>
      <c r="K29" s="11" t="s">
        <v>87</v>
      </c>
      <c r="L29" s="12"/>
      <c r="M29" s="15"/>
    </row>
    <row r="30" spans="1:13">
      <c r="C30" s="31"/>
      <c r="E30" s="32"/>
      <c r="I30" s="11" t="s">
        <v>57</v>
      </c>
      <c r="J30" s="12">
        <v>-45</v>
      </c>
      <c r="K30" s="11" t="s">
        <v>87</v>
      </c>
      <c r="L30" s="12"/>
    </row>
    <row r="31" spans="1:13">
      <c r="A31" s="14"/>
      <c r="B31" s="14"/>
      <c r="C31" s="31"/>
      <c r="E31" s="32"/>
      <c r="G31" s="3" t="s">
        <v>392</v>
      </c>
      <c r="I31" s="11" t="s">
        <v>122</v>
      </c>
      <c r="J31" s="12">
        <v>-49</v>
      </c>
      <c r="K31" s="11" t="s">
        <v>87</v>
      </c>
      <c r="L31" s="12"/>
    </row>
    <row r="32" spans="1:13">
      <c r="C32" s="31"/>
      <c r="E32" s="32"/>
      <c r="H32" s="30"/>
      <c r="I32" s="11"/>
      <c r="J32" s="12"/>
      <c r="K32" s="11" t="s">
        <v>8</v>
      </c>
      <c r="L32" s="12"/>
    </row>
    <row r="33" spans="8:12">
      <c r="H33" s="30"/>
      <c r="I33" s="11"/>
      <c r="J33" s="12"/>
      <c r="K33" s="11" t="s">
        <v>8</v>
      </c>
      <c r="L33" s="12"/>
    </row>
    <row r="34" spans="8:12">
      <c r="H34" s="30"/>
      <c r="I34" s="11"/>
      <c r="J34" s="12"/>
      <c r="K34" s="11" t="s">
        <v>8</v>
      </c>
      <c r="L34" s="12"/>
    </row>
    <row r="35" spans="8:12">
      <c r="H35" s="30"/>
      <c r="I35" s="11"/>
      <c r="J35" s="12"/>
      <c r="K35" s="11" t="s">
        <v>8</v>
      </c>
      <c r="L35" s="12"/>
    </row>
    <row r="36" spans="8:12">
      <c r="H36" s="30"/>
      <c r="I36" s="11"/>
      <c r="J36" s="12"/>
      <c r="K36" s="11" t="s">
        <v>8</v>
      </c>
      <c r="L36" s="12"/>
    </row>
    <row r="37" spans="8:12">
      <c r="H37" s="30"/>
      <c r="I37" s="11"/>
      <c r="J37" s="12"/>
      <c r="K37" s="11" t="s">
        <v>8</v>
      </c>
      <c r="L37" s="12"/>
    </row>
    <row r="38" spans="8:12">
      <c r="H38" s="30"/>
      <c r="I38" s="11"/>
      <c r="J38" s="12"/>
      <c r="K38" s="11" t="s">
        <v>8</v>
      </c>
      <c r="L38" s="12"/>
    </row>
    <row r="39" spans="8:12">
      <c r="H39" s="30"/>
      <c r="I39" s="11"/>
      <c r="J39" s="12"/>
      <c r="K39" s="11" t="s">
        <v>8</v>
      </c>
      <c r="L39" s="12"/>
    </row>
    <row r="40" spans="8:12">
      <c r="H40" s="30"/>
      <c r="I40" s="11"/>
      <c r="J40" s="12"/>
      <c r="K40" s="11" t="s">
        <v>8</v>
      </c>
      <c r="L40" s="12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L40" xr:uid="{00000000-0009-0000-0000-000029000000}"/>
  <conditionalFormatting sqref="I3:L32">
    <cfRule type="expression" dxfId="7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1"/>
  <dimension ref="A1:IS56"/>
  <sheetViews>
    <sheetView topLeftCell="B1" zoomScale="190" zoomScaleNormal="190" workbookViewId="0">
      <selection activeCell="F5" sqref="F5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7.5" style="3" bestFit="1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>
      <c r="C1" s="31"/>
      <c r="E1" s="32"/>
    </row>
    <row r="2" spans="3:12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22" t="s">
        <v>6</v>
      </c>
      <c r="D3" s="23">
        <v>4265.88</v>
      </c>
      <c r="E3" s="3"/>
      <c r="F3" s="7" t="s">
        <v>1</v>
      </c>
      <c r="G3" s="4">
        <v>140</v>
      </c>
      <c r="I3" s="11" t="s">
        <v>7</v>
      </c>
      <c r="J3" s="12">
        <v>-852.98</v>
      </c>
      <c r="K3" s="11" t="s">
        <v>87</v>
      </c>
      <c r="L3" s="12"/>
    </row>
    <row r="4" spans="3:12">
      <c r="C4" s="197" t="s">
        <v>9</v>
      </c>
      <c r="D4" s="192">
        <f>SUMIF(K3:K29,"Yes*",J3:J29)</f>
        <v>-3974.47</v>
      </c>
      <c r="E4" s="3"/>
      <c r="F4" s="6" t="s">
        <v>86</v>
      </c>
      <c r="G4" s="5"/>
      <c r="I4" s="11" t="s">
        <v>10</v>
      </c>
      <c r="J4" s="12">
        <v>-244.8</v>
      </c>
      <c r="K4" s="11" t="s">
        <v>87</v>
      </c>
      <c r="L4" s="12" t="s">
        <v>11</v>
      </c>
    </row>
    <row r="5" spans="3:12">
      <c r="C5" s="22" t="s">
        <v>12</v>
      </c>
      <c r="D5" s="23">
        <v>97.71</v>
      </c>
      <c r="E5" s="3"/>
      <c r="F5" s="24" t="s">
        <v>111</v>
      </c>
      <c r="G5" s="25"/>
      <c r="H5" s="9"/>
      <c r="I5" s="11" t="s">
        <v>14</v>
      </c>
      <c r="J5" s="12">
        <v>-24.75</v>
      </c>
      <c r="K5" s="11" t="s">
        <v>87</v>
      </c>
      <c r="L5" s="12"/>
    </row>
    <row r="6" spans="3:12" ht="15" thickBot="1">
      <c r="C6" s="96" t="s">
        <v>15</v>
      </c>
      <c r="D6" s="198">
        <f>SUMIF(K3:K40,"No",J3:J40)</f>
        <v>-89.69</v>
      </c>
      <c r="E6" s="3"/>
      <c r="F6" s="24" t="s">
        <v>385</v>
      </c>
      <c r="G6" s="25"/>
      <c r="I6" s="11" t="s">
        <v>17</v>
      </c>
      <c r="J6" s="12">
        <v>-16.3</v>
      </c>
      <c r="K6" s="11" t="s">
        <v>8</v>
      </c>
      <c r="L6" s="12"/>
    </row>
    <row r="7" spans="3:12" ht="15" thickBot="1">
      <c r="C7" s="28" t="s">
        <v>18</v>
      </c>
      <c r="D7" s="29">
        <f>D6+D5</f>
        <v>8.019999999999996</v>
      </c>
      <c r="E7" s="3" t="s">
        <v>19</v>
      </c>
      <c r="F7" s="26" t="s">
        <v>28</v>
      </c>
      <c r="G7" s="27">
        <f>SUM(G3:G6)</f>
        <v>140</v>
      </c>
      <c r="I7" s="11" t="s">
        <v>21</v>
      </c>
      <c r="J7" s="12">
        <v>-13.2</v>
      </c>
      <c r="K7" s="11" t="s">
        <v>87</v>
      </c>
      <c r="L7" s="12"/>
    </row>
    <row r="8" spans="3:12">
      <c r="C8" s="8"/>
      <c r="D8" s="31"/>
      <c r="E8" s="30"/>
      <c r="I8" s="11" t="s">
        <v>24</v>
      </c>
      <c r="J8" s="12">
        <v>-85</v>
      </c>
      <c r="K8" s="11" t="s">
        <v>87</v>
      </c>
      <c r="L8" s="12"/>
    </row>
    <row r="9" spans="3:12">
      <c r="C9" s="31"/>
      <c r="E9" s="30"/>
      <c r="I9" s="11" t="s">
        <v>25</v>
      </c>
      <c r="J9" s="12">
        <v>-27</v>
      </c>
      <c r="K9" s="11" t="s">
        <v>8</v>
      </c>
      <c r="L9" s="12"/>
    </row>
    <row r="10" spans="3:12">
      <c r="C10" s="96" t="s">
        <v>22</v>
      </c>
      <c r="D10" s="198">
        <f>SUMIF(L3:L40,"f",J3:J40)</f>
        <v>-2242.3000000000002</v>
      </c>
      <c r="E10"/>
      <c r="F10"/>
      <c r="G10" s="9"/>
      <c r="I10" s="11" t="s">
        <v>27</v>
      </c>
      <c r="J10" s="12">
        <v>-15</v>
      </c>
      <c r="K10" s="11" t="s">
        <v>87</v>
      </c>
      <c r="L10" s="12"/>
    </row>
    <row r="11" spans="3:12" ht="14">
      <c r="C11"/>
      <c r="D11"/>
      <c r="E11"/>
      <c r="F11" s="77"/>
      <c r="G11" s="9">
        <f>G3-250</f>
        <v>-110</v>
      </c>
      <c r="I11" s="11" t="s">
        <v>29</v>
      </c>
      <c r="J11" s="12">
        <v>-300</v>
      </c>
      <c r="K11" s="11" t="s">
        <v>87</v>
      </c>
      <c r="L11" s="12"/>
    </row>
    <row r="12" spans="3:12" ht="14">
      <c r="C12"/>
      <c r="D12"/>
      <c r="E12"/>
      <c r="F12" s="77"/>
      <c r="I12" s="11" t="s">
        <v>30</v>
      </c>
      <c r="J12" s="12">
        <v>-13.99</v>
      </c>
      <c r="K12" s="11" t="s">
        <v>8</v>
      </c>
      <c r="L12" s="12"/>
    </row>
    <row r="13" spans="3:12" ht="14">
      <c r="C13"/>
      <c r="D13"/>
      <c r="E13"/>
      <c r="F13" s="77"/>
      <c r="I13" s="11" t="s">
        <v>32</v>
      </c>
      <c r="J13" s="12">
        <v>-25</v>
      </c>
      <c r="K13" s="11" t="s">
        <v>8</v>
      </c>
      <c r="L13" s="12"/>
    </row>
    <row r="14" spans="3:12" ht="14">
      <c r="C14"/>
      <c r="D14"/>
      <c r="E14"/>
      <c r="F14"/>
      <c r="I14" s="11" t="s">
        <v>33</v>
      </c>
      <c r="J14" s="12">
        <v>-188</v>
      </c>
      <c r="K14" s="11" t="s">
        <v>87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87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87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-28</v>
      </c>
      <c r="K17" s="11" t="s">
        <v>87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87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2600</v>
      </c>
      <c r="I19" s="11" t="s">
        <v>42</v>
      </c>
      <c r="J19" s="12">
        <v>-580</v>
      </c>
      <c r="K19" s="11" t="s">
        <v>87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600</v>
      </c>
      <c r="I20" s="11" t="s">
        <v>379</v>
      </c>
      <c r="J20" s="12">
        <v>-600</v>
      </c>
      <c r="K20" s="11" t="s">
        <v>87</v>
      </c>
      <c r="L20" s="12" t="s">
        <v>11</v>
      </c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I21" s="11" t="s">
        <v>47</v>
      </c>
      <c r="J21" s="12">
        <v>-12.5</v>
      </c>
      <c r="K21" s="11" t="s">
        <v>87</v>
      </c>
      <c r="L21" s="12" t="s">
        <v>11</v>
      </c>
    </row>
    <row r="22" spans="1:13" ht="14">
      <c r="C22"/>
      <c r="D22"/>
      <c r="E22"/>
      <c r="F22" t="s">
        <v>44</v>
      </c>
      <c r="I22" s="11" t="s">
        <v>382</v>
      </c>
      <c r="J22" s="12"/>
      <c r="K22" s="11" t="s">
        <v>8</v>
      </c>
      <c r="L22" s="12" t="s">
        <v>11</v>
      </c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87</v>
      </c>
      <c r="L23" s="12" t="s">
        <v>11</v>
      </c>
    </row>
    <row r="24" spans="1:13">
      <c r="C24" s="31"/>
      <c r="E24"/>
      <c r="F24"/>
      <c r="G24" s="3">
        <f>SUM(G20:G23)-G19</f>
        <v>-2000</v>
      </c>
      <c r="I24" s="11" t="s">
        <v>386</v>
      </c>
      <c r="J24" s="12">
        <v>-10</v>
      </c>
      <c r="K24" s="11" t="s">
        <v>87</v>
      </c>
      <c r="L24" s="12" t="s">
        <v>11</v>
      </c>
    </row>
    <row r="25" spans="1:13">
      <c r="C25" s="31"/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/>
      <c r="E26" s="32"/>
      <c r="I26" s="11" t="s">
        <v>54</v>
      </c>
      <c r="J26" s="12">
        <v>-45</v>
      </c>
      <c r="K26" s="11" t="s">
        <v>87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87</v>
      </c>
      <c r="L27" s="12"/>
    </row>
    <row r="28" spans="1:13">
      <c r="C28" s="31"/>
      <c r="E28" s="32"/>
      <c r="I28" s="11" t="s">
        <v>387</v>
      </c>
      <c r="J28" s="12">
        <v>-5.99</v>
      </c>
      <c r="K28" s="11" t="s">
        <v>87</v>
      </c>
      <c r="L28" s="12"/>
    </row>
    <row r="29" spans="1:13">
      <c r="C29" s="31"/>
      <c r="E29" s="32"/>
      <c r="G29" s="3" t="s">
        <v>391</v>
      </c>
      <c r="I29" s="11" t="s">
        <v>86</v>
      </c>
      <c r="J29" s="12">
        <v>-160</v>
      </c>
      <c r="K29" s="11" t="s">
        <v>87</v>
      </c>
      <c r="L29" s="12"/>
      <c r="M29" s="15"/>
    </row>
    <row r="30" spans="1:13">
      <c r="C30" s="31"/>
      <c r="E30" s="32"/>
      <c r="I30" s="11" t="s">
        <v>60</v>
      </c>
      <c r="J30" s="12">
        <v>-200</v>
      </c>
      <c r="K30" s="11" t="s">
        <v>87</v>
      </c>
      <c r="L30" s="12"/>
    </row>
    <row r="31" spans="1:13">
      <c r="A31" s="14"/>
      <c r="B31" s="14"/>
      <c r="C31" s="31"/>
      <c r="E31" s="32"/>
      <c r="G31" s="3" t="s">
        <v>392</v>
      </c>
      <c r="I31" s="11"/>
      <c r="J31" s="12"/>
      <c r="K31" s="11" t="s">
        <v>8</v>
      </c>
      <c r="L31" s="12"/>
    </row>
    <row r="32" spans="1:13">
      <c r="C32" s="31"/>
      <c r="E32" s="32"/>
      <c r="H32" s="30"/>
      <c r="I32" s="11"/>
      <c r="J32" s="12"/>
      <c r="K32" s="11" t="s">
        <v>8</v>
      </c>
      <c r="L32" s="12"/>
    </row>
    <row r="33" spans="8:12">
      <c r="H33" s="30"/>
      <c r="I33" s="11"/>
      <c r="J33" s="12"/>
      <c r="K33" s="11" t="s">
        <v>8</v>
      </c>
      <c r="L33" s="12"/>
    </row>
    <row r="34" spans="8:12">
      <c r="H34" s="30"/>
      <c r="I34" s="11"/>
      <c r="J34" s="12"/>
      <c r="K34" s="11" t="s">
        <v>8</v>
      </c>
      <c r="L34" s="12"/>
    </row>
    <row r="35" spans="8:12">
      <c r="H35" s="30"/>
      <c r="I35" s="11"/>
      <c r="J35" s="12"/>
      <c r="K35" s="11" t="s">
        <v>8</v>
      </c>
      <c r="L35" s="12"/>
    </row>
    <row r="36" spans="8:12">
      <c r="H36" s="30"/>
      <c r="I36" s="11"/>
      <c r="J36" s="12"/>
      <c r="K36" s="11" t="s">
        <v>8</v>
      </c>
      <c r="L36" s="12"/>
    </row>
    <row r="37" spans="8:12">
      <c r="H37" s="30"/>
      <c r="I37" s="11"/>
      <c r="J37" s="12"/>
      <c r="K37" s="11" t="s">
        <v>8</v>
      </c>
      <c r="L37" s="12"/>
    </row>
    <row r="38" spans="8:12">
      <c r="H38" s="30"/>
      <c r="I38" s="11"/>
      <c r="J38" s="12"/>
      <c r="K38" s="11" t="s">
        <v>8</v>
      </c>
      <c r="L38" s="12"/>
    </row>
    <row r="39" spans="8:12">
      <c r="H39" s="30"/>
      <c r="I39" s="11"/>
      <c r="J39" s="12"/>
      <c r="K39" s="11" t="s">
        <v>8</v>
      </c>
      <c r="L39" s="12"/>
    </row>
    <row r="40" spans="8:12">
      <c r="H40" s="30"/>
      <c r="I40" s="11"/>
      <c r="J40" s="12"/>
      <c r="K40" s="11" t="s">
        <v>8</v>
      </c>
      <c r="L40" s="12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L40" xr:uid="{00000000-0009-0000-0000-00002A000000}"/>
  <conditionalFormatting sqref="I3:L32">
    <cfRule type="expression" dxfId="6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2"/>
  <dimension ref="A1:XFB56"/>
  <sheetViews>
    <sheetView topLeftCell="B1" zoomScale="190" zoomScaleNormal="190" workbookViewId="0">
      <selection activeCell="F5" sqref="F5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7.5" style="3" bestFit="1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4" width="6.08203125" style="3" hidden="1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3787.38</v>
      </c>
      <c r="E3" s="3"/>
      <c r="F3" s="7" t="s">
        <v>1</v>
      </c>
      <c r="G3" s="4">
        <v>500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-3366.5099999999998</v>
      </c>
      <c r="E4" s="3"/>
      <c r="F4" s="6" t="s">
        <v>111</v>
      </c>
      <c r="G4" s="5"/>
      <c r="I4" s="11" t="s">
        <v>10</v>
      </c>
      <c r="J4" s="12">
        <v>-244.8</v>
      </c>
      <c r="K4" s="11" t="s">
        <v>87</v>
      </c>
    </row>
    <row r="5" spans="3:11">
      <c r="C5" s="22" t="s">
        <v>12</v>
      </c>
      <c r="D5" s="23">
        <v>39.630000000000003</v>
      </c>
      <c r="E5" s="3"/>
      <c r="F5" s="24" t="s">
        <v>63</v>
      </c>
      <c r="G5" s="25"/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-34.4</v>
      </c>
      <c r="E6" s="3"/>
      <c r="F6" s="24" t="s">
        <v>385</v>
      </c>
      <c r="G6" s="25"/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5.230000000000004</v>
      </c>
      <c r="E7" s="3" t="s">
        <v>19</v>
      </c>
      <c r="F7" s="26" t="s">
        <v>28</v>
      </c>
      <c r="G7" s="27">
        <f>SUM(G3:G6)</f>
        <v>500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-85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-27</v>
      </c>
      <c r="K9" s="11" t="s">
        <v>8</v>
      </c>
    </row>
    <row r="10" spans="3:11" ht="14">
      <c r="C10"/>
      <c r="D10"/>
      <c r="E10" t="s">
        <v>402</v>
      </c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 s="77"/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 s="77"/>
      <c r="I12" s="11" t="s">
        <v>30</v>
      </c>
      <c r="J12" s="12">
        <v>-13.99</v>
      </c>
      <c r="K12" s="11" t="s">
        <v>87</v>
      </c>
    </row>
    <row r="13" spans="3:11" ht="14">
      <c r="C13"/>
      <c r="D13"/>
      <c r="E13"/>
      <c r="F13" s="77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/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 s="77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-28</v>
      </c>
      <c r="K17" s="11" t="s">
        <v>87</v>
      </c>
    </row>
    <row r="18" spans="1:12" ht="14">
      <c r="C18"/>
      <c r="D18"/>
      <c r="E18"/>
      <c r="F18"/>
      <c r="I18" s="11" t="s">
        <v>39</v>
      </c>
      <c r="J18" s="12">
        <v>-2</v>
      </c>
      <c r="K18" s="11" t="s">
        <v>87</v>
      </c>
    </row>
    <row r="19" spans="1:12" ht="14">
      <c r="C19"/>
      <c r="D19"/>
      <c r="E19"/>
      <c r="F19"/>
      <c r="I19" s="11" t="s">
        <v>42</v>
      </c>
      <c r="J19" s="12">
        <v>-546</v>
      </c>
      <c r="K19" s="11" t="s">
        <v>87</v>
      </c>
    </row>
    <row r="20" spans="1:12" ht="14">
      <c r="C20"/>
      <c r="D20"/>
      <c r="E20"/>
      <c r="F20"/>
      <c r="I20" s="11" t="s">
        <v>403</v>
      </c>
      <c r="J20" s="12"/>
      <c r="K20" s="11" t="s">
        <v>87</v>
      </c>
    </row>
    <row r="21" spans="1:12" ht="14">
      <c r="C21"/>
      <c r="D21"/>
      <c r="E21"/>
      <c r="F21"/>
      <c r="I21" s="11" t="s">
        <v>47</v>
      </c>
      <c r="J21" s="12">
        <v>-12.5</v>
      </c>
      <c r="K21" s="11" t="s">
        <v>87</v>
      </c>
    </row>
    <row r="22" spans="1:12" ht="14">
      <c r="C22"/>
      <c r="D22"/>
      <c r="E22"/>
      <c r="F22"/>
      <c r="I22" s="11" t="s">
        <v>382</v>
      </c>
      <c r="J22" s="12"/>
      <c r="K22" s="11" t="s">
        <v>8</v>
      </c>
    </row>
    <row r="23" spans="1:12" ht="14">
      <c r="C23"/>
      <c r="D23"/>
      <c r="E23"/>
      <c r="F23"/>
      <c r="I23" s="11" t="s">
        <v>49</v>
      </c>
      <c r="J23" s="12">
        <v>-750</v>
      </c>
      <c r="K23" s="11" t="s">
        <v>87</v>
      </c>
    </row>
    <row r="24" spans="1:12" ht="14">
      <c r="C24"/>
      <c r="D24"/>
      <c r="E24"/>
      <c r="F24"/>
      <c r="G24" s="3" t="s">
        <v>391</v>
      </c>
      <c r="I24" s="11" t="s">
        <v>386</v>
      </c>
      <c r="J24" s="12">
        <v>-10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</v>
      </c>
    </row>
    <row r="26" spans="1:12">
      <c r="C26" s="31"/>
      <c r="E26" s="32"/>
      <c r="G26" s="3" t="s">
        <v>392</v>
      </c>
      <c r="I26" s="11" t="s">
        <v>54</v>
      </c>
      <c r="J26" s="12">
        <v>-146</v>
      </c>
      <c r="K26" s="11" t="s">
        <v>87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387</v>
      </c>
      <c r="J28" s="12">
        <v>-5.99</v>
      </c>
      <c r="K28" s="11" t="s">
        <v>87</v>
      </c>
    </row>
    <row r="29" spans="1:12">
      <c r="C29" s="31"/>
      <c r="E29" s="32"/>
      <c r="I29" s="11" t="s">
        <v>401</v>
      </c>
      <c r="J29" s="12">
        <v>-29.75</v>
      </c>
      <c r="K29" s="11" t="s">
        <v>87</v>
      </c>
      <c r="L29" s="15"/>
    </row>
    <row r="30" spans="1:12">
      <c r="C30" s="31"/>
      <c r="E30" s="32"/>
      <c r="I30" s="11" t="s">
        <v>60</v>
      </c>
      <c r="J30" s="12">
        <v>-380</v>
      </c>
      <c r="K30" s="11" t="s">
        <v>87</v>
      </c>
    </row>
    <row r="31" spans="1:12">
      <c r="A31" s="14"/>
      <c r="B31" s="14"/>
      <c r="C31" s="31"/>
      <c r="E31" s="32"/>
      <c r="I31" s="11" t="s">
        <v>404</v>
      </c>
      <c r="J31" s="12">
        <v>-7.4</v>
      </c>
      <c r="K31" s="11" t="s">
        <v>87</v>
      </c>
    </row>
    <row r="32" spans="1:12">
      <c r="C32" s="31"/>
      <c r="E32" s="32"/>
      <c r="H32" s="30"/>
      <c r="I32" s="11" t="s">
        <v>25</v>
      </c>
      <c r="J32" s="12">
        <v>-27</v>
      </c>
      <c r="K32" s="11" t="s">
        <v>87</v>
      </c>
    </row>
    <row r="33" spans="8:11">
      <c r="H33" s="30"/>
      <c r="I33" s="11"/>
      <c r="J33" s="12"/>
      <c r="K33" s="11" t="s">
        <v>8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2B000000}"/>
  <conditionalFormatting sqref="I3:K32">
    <cfRule type="expression" dxfId="5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3"/>
  <dimension ref="A1:XFB56"/>
  <sheetViews>
    <sheetView zoomScale="200" zoomScaleNormal="200" workbookViewId="0">
      <selection activeCell="F5" sqref="F5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7.5" style="3" bestFit="1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4" width="6.08203125" style="3" hidden="1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3787.38</v>
      </c>
      <c r="E3" s="3"/>
      <c r="F3" s="7" t="s">
        <v>1</v>
      </c>
      <c r="G3" s="4">
        <v>170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-3236.7599999999998</v>
      </c>
      <c r="E4" s="3"/>
      <c r="F4" s="6" t="s">
        <v>111</v>
      </c>
      <c r="G4" s="5"/>
      <c r="I4" s="11" t="s">
        <v>10</v>
      </c>
      <c r="J4" s="12">
        <v>-244.8</v>
      </c>
      <c r="K4" s="11" t="s">
        <v>87</v>
      </c>
    </row>
    <row r="5" spans="3:11">
      <c r="C5" s="22" t="s">
        <v>12</v>
      </c>
      <c r="D5" s="23">
        <v>105.66</v>
      </c>
      <c r="E5" s="3"/>
      <c r="F5" s="24" t="s">
        <v>63</v>
      </c>
      <c r="G5" s="25"/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-34.4</v>
      </c>
      <c r="E6" s="3"/>
      <c r="F6" s="24" t="s">
        <v>385</v>
      </c>
      <c r="G6" s="25"/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71.259999999999991</v>
      </c>
      <c r="E7" s="3" t="s">
        <v>19</v>
      </c>
      <c r="F7" s="26" t="s">
        <v>28</v>
      </c>
      <c r="G7" s="27">
        <f>SUM(G3:G6)</f>
        <v>170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-85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-27</v>
      </c>
      <c r="K9" s="11" t="s">
        <v>8</v>
      </c>
    </row>
    <row r="10" spans="3:11" ht="14">
      <c r="C10"/>
      <c r="D10"/>
      <c r="E10" t="s">
        <v>402</v>
      </c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 s="77"/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 s="77"/>
      <c r="I12" s="11" t="s">
        <v>30</v>
      </c>
      <c r="J12" s="12">
        <v>-11.99</v>
      </c>
      <c r="K12" s="11" t="s">
        <v>87</v>
      </c>
    </row>
    <row r="13" spans="3:11" ht="14">
      <c r="C13"/>
      <c r="D13"/>
      <c r="E13"/>
      <c r="F13" s="77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/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 s="77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-28</v>
      </c>
      <c r="K17" s="11" t="s">
        <v>87</v>
      </c>
    </row>
    <row r="18" spans="1:12" ht="14">
      <c r="C18"/>
      <c r="D18"/>
      <c r="E18"/>
      <c r="F18"/>
      <c r="I18" s="11" t="s">
        <v>39</v>
      </c>
      <c r="J18" s="12">
        <v>-2</v>
      </c>
      <c r="K18" s="11" t="s">
        <v>87</v>
      </c>
    </row>
    <row r="19" spans="1:12" ht="14">
      <c r="C19"/>
      <c r="D19"/>
      <c r="E19"/>
      <c r="F19"/>
      <c r="I19" s="11" t="s">
        <v>42</v>
      </c>
      <c r="J19" s="12">
        <v>-560</v>
      </c>
      <c r="K19" s="11" t="s">
        <v>87</v>
      </c>
    </row>
    <row r="20" spans="1:12" ht="14">
      <c r="C20"/>
      <c r="D20"/>
      <c r="E20"/>
      <c r="F20"/>
      <c r="I20" s="11" t="s">
        <v>403</v>
      </c>
      <c r="J20" s="12">
        <v>-10</v>
      </c>
      <c r="K20" s="11" t="s">
        <v>87</v>
      </c>
    </row>
    <row r="21" spans="1:12" ht="14">
      <c r="C21"/>
      <c r="D21"/>
      <c r="E21"/>
      <c r="F21"/>
      <c r="I21" s="11" t="s">
        <v>47</v>
      </c>
      <c r="J21" s="12">
        <v>-12.5</v>
      </c>
      <c r="K21" s="11" t="s">
        <v>87</v>
      </c>
    </row>
    <row r="22" spans="1:12" ht="14">
      <c r="C22"/>
      <c r="D22"/>
      <c r="E22"/>
      <c r="F22"/>
      <c r="I22" s="11" t="s">
        <v>382</v>
      </c>
      <c r="J22" s="12"/>
      <c r="K22" s="11" t="s">
        <v>8</v>
      </c>
    </row>
    <row r="23" spans="1:12" ht="14">
      <c r="C23"/>
      <c r="D23"/>
      <c r="E23"/>
      <c r="F23"/>
      <c r="I23" s="11" t="s">
        <v>49</v>
      </c>
      <c r="J23" s="12">
        <v>-750</v>
      </c>
      <c r="K23" s="11" t="s">
        <v>87</v>
      </c>
    </row>
    <row r="24" spans="1:12" ht="14">
      <c r="C24"/>
      <c r="D24"/>
      <c r="E24"/>
      <c r="F24"/>
      <c r="G24" s="3" t="s">
        <v>391</v>
      </c>
      <c r="I24" s="11" t="s">
        <v>405</v>
      </c>
      <c r="J24" s="12">
        <v>-10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</v>
      </c>
    </row>
    <row r="26" spans="1:12">
      <c r="C26" s="31"/>
      <c r="E26" s="32"/>
      <c r="G26" s="3" t="s">
        <v>392</v>
      </c>
      <c r="I26" s="11" t="s">
        <v>54</v>
      </c>
      <c r="J26" s="12">
        <v>-20</v>
      </c>
      <c r="K26" s="11" t="s">
        <v>87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387</v>
      </c>
      <c r="J28" s="12">
        <v>-5.99</v>
      </c>
      <c r="K28" s="11" t="s">
        <v>87</v>
      </c>
    </row>
    <row r="29" spans="1:12">
      <c r="C29" s="31"/>
      <c r="E29" s="32"/>
      <c r="I29" s="11" t="s">
        <v>406</v>
      </c>
      <c r="J29" s="12">
        <v>-4</v>
      </c>
      <c r="K29" s="11" t="s">
        <v>87</v>
      </c>
      <c r="L29" s="15"/>
    </row>
    <row r="30" spans="1:12">
      <c r="C30" s="31"/>
      <c r="E30" s="32"/>
      <c r="I30" s="11" t="s">
        <v>60</v>
      </c>
      <c r="J30" s="12">
        <v>-482.05</v>
      </c>
      <c r="K30" s="11" t="s">
        <v>87</v>
      </c>
    </row>
    <row r="31" spans="1:12">
      <c r="A31" s="14"/>
      <c r="B31" s="14"/>
      <c r="C31" s="31"/>
      <c r="E31" s="32"/>
      <c r="I31" s="11" t="s">
        <v>90</v>
      </c>
      <c r="J31" s="12">
        <v>-36.99</v>
      </c>
      <c r="K31" s="11" t="s">
        <v>87</v>
      </c>
    </row>
    <row r="32" spans="1:12">
      <c r="C32" s="31"/>
      <c r="E32" s="32"/>
      <c r="H32" s="30"/>
      <c r="I32" s="11" t="s">
        <v>407</v>
      </c>
      <c r="J32" s="12">
        <v>-25</v>
      </c>
      <c r="K32" s="11" t="s">
        <v>87</v>
      </c>
    </row>
    <row r="33" spans="8:11">
      <c r="H33" s="30"/>
      <c r="I33" s="11"/>
      <c r="J33" s="12"/>
      <c r="K33" s="11" t="s">
        <v>8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2C000000}"/>
  <conditionalFormatting sqref="I3:K3">
    <cfRule type="expression" dxfId="4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24"/>
  <dimension ref="A1:XFB56"/>
  <sheetViews>
    <sheetView zoomScale="175" zoomScaleNormal="175" workbookViewId="0">
      <selection activeCell="F5" sqref="F5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7.5" style="3" bestFit="1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4" width="6.08203125" style="3" hidden="1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4966.2299999999996</v>
      </c>
      <c r="E3" s="3"/>
      <c r="F3" s="7" t="s">
        <v>1</v>
      </c>
      <c r="G3" s="4">
        <v>41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-5704.16</v>
      </c>
      <c r="E4" s="3"/>
      <c r="F4" s="6" t="s">
        <v>111</v>
      </c>
      <c r="G4" s="5"/>
      <c r="I4" s="11" t="s">
        <v>10</v>
      </c>
      <c r="J4" s="12">
        <v>-244.8</v>
      </c>
      <c r="K4" s="11" t="s">
        <v>87</v>
      </c>
    </row>
    <row r="5" spans="3:11">
      <c r="C5" s="22" t="s">
        <v>12</v>
      </c>
      <c r="D5" s="23">
        <v>138.96</v>
      </c>
      <c r="E5" s="3"/>
      <c r="F5" s="24" t="s">
        <v>63</v>
      </c>
      <c r="G5" s="25"/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-64.37</v>
      </c>
      <c r="E6" s="3"/>
      <c r="F6" s="24" t="s">
        <v>385</v>
      </c>
      <c r="G6" s="25"/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74.59</v>
      </c>
      <c r="E7" s="3" t="s">
        <v>19</v>
      </c>
      <c r="F7" s="26" t="s">
        <v>28</v>
      </c>
      <c r="G7" s="27">
        <f>SUM(G3:G6)</f>
        <v>41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-85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-27</v>
      </c>
      <c r="K9" s="11" t="s">
        <v>8</v>
      </c>
    </row>
    <row r="10" spans="3:11" ht="14">
      <c r="C10"/>
      <c r="D10"/>
      <c r="E10" t="s">
        <v>402</v>
      </c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 s="77"/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 s="77"/>
      <c r="I12" s="11" t="s">
        <v>30</v>
      </c>
      <c r="J12" s="12">
        <v>-11.99</v>
      </c>
      <c r="K12" s="11" t="s">
        <v>87</v>
      </c>
    </row>
    <row r="13" spans="3:11" ht="14">
      <c r="C13"/>
      <c r="D13"/>
      <c r="E13"/>
      <c r="F13" s="77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/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 s="77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-28</v>
      </c>
      <c r="K17" s="11" t="s">
        <v>87</v>
      </c>
    </row>
    <row r="18" spans="1:12" ht="14">
      <c r="C18"/>
      <c r="D18"/>
      <c r="E18"/>
      <c r="F18"/>
      <c r="I18" s="11" t="s">
        <v>39</v>
      </c>
      <c r="J18" s="12">
        <v>-2</v>
      </c>
      <c r="K18" s="11" t="s">
        <v>87</v>
      </c>
    </row>
    <row r="19" spans="1:12" ht="14">
      <c r="C19"/>
      <c r="D19"/>
      <c r="E19"/>
      <c r="F19"/>
      <c r="I19" s="11" t="s">
        <v>42</v>
      </c>
      <c r="J19" s="12">
        <v>-743</v>
      </c>
      <c r="K19" s="11" t="s">
        <v>87</v>
      </c>
    </row>
    <row r="20" spans="1:12" ht="14">
      <c r="C20"/>
      <c r="D20"/>
      <c r="E20"/>
      <c r="F20"/>
      <c r="I20" s="11" t="s">
        <v>403</v>
      </c>
      <c r="J20" s="12">
        <v>-1903</v>
      </c>
      <c r="K20" s="11" t="s">
        <v>87</v>
      </c>
    </row>
    <row r="21" spans="1:12" ht="14">
      <c r="C21"/>
      <c r="D21"/>
      <c r="E21"/>
      <c r="F21"/>
      <c r="I21" s="11" t="s">
        <v>47</v>
      </c>
      <c r="J21" s="12">
        <v>-12.5</v>
      </c>
      <c r="K21" s="11" t="s">
        <v>87</v>
      </c>
    </row>
    <row r="22" spans="1:12" ht="14">
      <c r="C22"/>
      <c r="D22"/>
      <c r="E22"/>
      <c r="F22"/>
      <c r="I22" s="11" t="s">
        <v>382</v>
      </c>
      <c r="J22" s="12">
        <v>-10</v>
      </c>
      <c r="K22" s="11" t="s">
        <v>87</v>
      </c>
    </row>
    <row r="23" spans="1:12" ht="14">
      <c r="C23"/>
      <c r="D23"/>
      <c r="E23"/>
      <c r="F23"/>
      <c r="I23" s="11" t="s">
        <v>49</v>
      </c>
      <c r="J23" s="12">
        <v>-875</v>
      </c>
      <c r="K23" s="11" t="s">
        <v>87</v>
      </c>
    </row>
    <row r="24" spans="1:12" ht="14">
      <c r="C24"/>
      <c r="D24"/>
      <c r="E24"/>
      <c r="F24"/>
      <c r="G24" s="3" t="s">
        <v>391</v>
      </c>
      <c r="I24" s="11" t="s">
        <v>405</v>
      </c>
      <c r="J24" s="12">
        <v>-10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87</v>
      </c>
    </row>
    <row r="26" spans="1:12">
      <c r="C26" s="31"/>
      <c r="E26" s="32"/>
      <c r="G26" s="3" t="s">
        <v>392</v>
      </c>
      <c r="I26" s="11" t="s">
        <v>54</v>
      </c>
      <c r="J26" s="12">
        <v>-270</v>
      </c>
      <c r="K26" s="11" t="s">
        <v>87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387</v>
      </c>
      <c r="J28" s="12">
        <v>-5.99</v>
      </c>
      <c r="K28" s="11" t="s">
        <v>87</v>
      </c>
    </row>
    <row r="29" spans="1:12">
      <c r="C29" s="31"/>
      <c r="E29" s="32"/>
      <c r="I29" s="11" t="s">
        <v>406</v>
      </c>
      <c r="J29" s="12">
        <v>-3</v>
      </c>
      <c r="K29" s="11" t="s">
        <v>87</v>
      </c>
      <c r="L29" s="15"/>
    </row>
    <row r="30" spans="1:12">
      <c r="C30" s="31"/>
      <c r="E30" s="32"/>
      <c r="I30" s="11" t="s">
        <v>60</v>
      </c>
      <c r="J30" s="12">
        <v>-80</v>
      </c>
      <c r="K30" s="11" t="s">
        <v>87</v>
      </c>
    </row>
    <row r="31" spans="1:12">
      <c r="A31" s="14"/>
      <c r="B31" s="14"/>
      <c r="C31" s="31"/>
      <c r="E31" s="32"/>
      <c r="I31" s="11" t="s">
        <v>408</v>
      </c>
      <c r="J31" s="12">
        <v>-36.99</v>
      </c>
      <c r="K31" s="11" t="s">
        <v>87</v>
      </c>
    </row>
    <row r="32" spans="1:12">
      <c r="C32" s="31"/>
      <c r="E32" s="32"/>
      <c r="H32" s="30"/>
      <c r="I32" s="11" t="s">
        <v>90</v>
      </c>
      <c r="J32" s="12">
        <v>-37.369999999999997</v>
      </c>
      <c r="K32" s="11" t="s">
        <v>8</v>
      </c>
    </row>
    <row r="33" spans="8:11">
      <c r="H33" s="30"/>
      <c r="I33" s="11"/>
      <c r="J33" s="12"/>
      <c r="K33" s="11" t="s">
        <v>8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2D000000}"/>
  <conditionalFormatting sqref="I3:K3">
    <cfRule type="expression" dxfId="3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5"/>
  <dimension ref="A1:XFC56"/>
  <sheetViews>
    <sheetView zoomScale="145" zoomScaleNormal="145" workbookViewId="0">
      <selection activeCell="F5" sqref="F5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0.58203125" style="2" customWidth="1"/>
    <col min="6" max="6" width="16.08203125" style="3" bestFit="1" customWidth="1"/>
    <col min="7" max="7" width="17.5" style="3" bestFit="1" customWidth="1"/>
    <col min="8" max="8" width="1.0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3" width="6.08203125" style="3" hidden="1" customWidth="1"/>
    <col min="16384" max="16384" width="2.08203125" style="3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3723</v>
      </c>
      <c r="E3" s="3"/>
      <c r="F3" s="7" t="s">
        <v>1</v>
      </c>
      <c r="G3" s="4">
        <v>39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-3529.17</v>
      </c>
      <c r="E4" s="3"/>
      <c r="F4" s="6"/>
      <c r="G4" s="5"/>
      <c r="I4" s="11" t="s">
        <v>10</v>
      </c>
      <c r="J4" s="12">
        <v>-244.8</v>
      </c>
      <c r="K4" s="11" t="s">
        <v>87</v>
      </c>
    </row>
    <row r="5" spans="3:11">
      <c r="C5" s="22" t="s">
        <v>12</v>
      </c>
      <c r="D5" s="23">
        <v>4.03</v>
      </c>
      <c r="E5" s="3"/>
      <c r="F5" s="24" t="s">
        <v>63</v>
      </c>
      <c r="G5" s="25">
        <v>70</v>
      </c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0</v>
      </c>
      <c r="E6" s="3"/>
      <c r="F6" s="24" t="s">
        <v>385</v>
      </c>
      <c r="G6" s="25">
        <v>768</v>
      </c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4.03</v>
      </c>
      <c r="E7" s="3" t="s">
        <v>19</v>
      </c>
      <c r="F7" s="26" t="s">
        <v>28</v>
      </c>
      <c r="G7" s="27">
        <f>SUM(G3:G6)</f>
        <v>877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-85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-27</v>
      </c>
      <c r="K9" s="11" t="s">
        <v>87</v>
      </c>
    </row>
    <row r="10" spans="3:11" ht="14">
      <c r="C10"/>
      <c r="D10"/>
      <c r="E10" t="s">
        <v>402</v>
      </c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 s="77" t="s">
        <v>409</v>
      </c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 s="77"/>
      <c r="I12" s="11" t="s">
        <v>30</v>
      </c>
      <c r="J12" s="12">
        <v>-11.99</v>
      </c>
      <c r="K12" s="11" t="s">
        <v>87</v>
      </c>
    </row>
    <row r="13" spans="3:11" ht="14">
      <c r="C13"/>
      <c r="D13"/>
      <c r="E13"/>
      <c r="F13" s="77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/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 s="77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-28</v>
      </c>
      <c r="K17" s="11" t="s">
        <v>87</v>
      </c>
    </row>
    <row r="18" spans="1:12" ht="14">
      <c r="C18"/>
      <c r="D18"/>
      <c r="E18"/>
      <c r="F18"/>
      <c r="I18" s="11" t="s">
        <v>39</v>
      </c>
      <c r="J18" s="12">
        <v>-2</v>
      </c>
      <c r="K18" s="11" t="s">
        <v>87</v>
      </c>
    </row>
    <row r="19" spans="1:12" ht="14">
      <c r="C19"/>
      <c r="D19"/>
      <c r="E19"/>
      <c r="F19"/>
      <c r="I19" s="11" t="s">
        <v>42</v>
      </c>
      <c r="J19" s="12">
        <v>-665</v>
      </c>
      <c r="K19" s="11" t="s">
        <v>87</v>
      </c>
    </row>
    <row r="20" spans="1:12" ht="14">
      <c r="C20"/>
      <c r="D20"/>
      <c r="E20"/>
      <c r="F20"/>
      <c r="I20" s="11" t="s">
        <v>403</v>
      </c>
      <c r="J20" s="12">
        <v>-50</v>
      </c>
      <c r="K20" s="11" t="s">
        <v>87</v>
      </c>
    </row>
    <row r="21" spans="1:12" ht="14">
      <c r="C21"/>
      <c r="D21"/>
      <c r="E21"/>
      <c r="F21"/>
      <c r="I21" s="11" t="s">
        <v>47</v>
      </c>
      <c r="J21" s="12">
        <v>-12.5</v>
      </c>
      <c r="K21" s="11" t="s">
        <v>87</v>
      </c>
    </row>
    <row r="22" spans="1:12" ht="14">
      <c r="C22"/>
      <c r="D22"/>
      <c r="E22"/>
      <c r="F22"/>
      <c r="I22" s="11" t="s">
        <v>382</v>
      </c>
      <c r="J22" s="12"/>
      <c r="K22" s="11" t="s">
        <v>8</v>
      </c>
    </row>
    <row r="23" spans="1:12" ht="14">
      <c r="C23"/>
      <c r="D23"/>
      <c r="E23"/>
      <c r="F23"/>
      <c r="I23" s="11" t="s">
        <v>49</v>
      </c>
      <c r="J23" s="12">
        <v>-750</v>
      </c>
      <c r="K23" s="11" t="s">
        <v>87</v>
      </c>
    </row>
    <row r="24" spans="1:12" ht="14">
      <c r="C24"/>
      <c r="D24"/>
      <c r="E24"/>
      <c r="F24"/>
      <c r="G24" s="3" t="s">
        <v>391</v>
      </c>
      <c r="I24" s="11" t="s">
        <v>405</v>
      </c>
      <c r="J24" s="12">
        <v>-10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87</v>
      </c>
    </row>
    <row r="26" spans="1:12">
      <c r="C26" s="31"/>
      <c r="E26" s="32"/>
      <c r="G26" s="3" t="s">
        <v>392</v>
      </c>
      <c r="I26" s="11" t="s">
        <v>54</v>
      </c>
      <c r="J26" s="12"/>
      <c r="K26" s="11" t="s">
        <v>8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111</v>
      </c>
      <c r="J28" s="12">
        <v>-140</v>
      </c>
      <c r="K28" s="11" t="s">
        <v>87</v>
      </c>
    </row>
    <row r="29" spans="1:12">
      <c r="C29" s="31"/>
      <c r="E29" s="32"/>
      <c r="I29" s="11" t="s">
        <v>406</v>
      </c>
      <c r="J29" s="12">
        <v>-3</v>
      </c>
      <c r="K29" s="11" t="s">
        <v>87</v>
      </c>
      <c r="L29" s="15"/>
    </row>
    <row r="30" spans="1:12">
      <c r="C30" s="31"/>
      <c r="E30" s="32"/>
      <c r="I30" s="11" t="s">
        <v>410</v>
      </c>
      <c r="J30" s="12">
        <v>-84.23</v>
      </c>
      <c r="K30" s="11" t="s">
        <v>87</v>
      </c>
    </row>
    <row r="31" spans="1:12">
      <c r="A31" s="14"/>
      <c r="B31" s="14"/>
      <c r="C31" s="31"/>
      <c r="E31" s="32"/>
      <c r="I31" s="11" t="s">
        <v>411</v>
      </c>
      <c r="J31" s="12">
        <v>-15</v>
      </c>
      <c r="K31" s="11" t="s">
        <v>87</v>
      </c>
    </row>
    <row r="32" spans="1:12">
      <c r="C32" s="31"/>
      <c r="E32" s="32"/>
      <c r="H32" s="30"/>
      <c r="I32" s="11" t="s">
        <v>91</v>
      </c>
      <c r="J32" s="12">
        <v>-175</v>
      </c>
      <c r="K32" s="11" t="s">
        <v>87</v>
      </c>
    </row>
    <row r="33" spans="8:11">
      <c r="H33" s="30"/>
      <c r="I33" s="11" t="s">
        <v>412</v>
      </c>
      <c r="J33" s="12">
        <v>-100</v>
      </c>
      <c r="K33" s="11" t="s">
        <v>87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2E000000}"/>
  <conditionalFormatting sqref="I3:K3">
    <cfRule type="expression" dxfId="2" priority="2">
      <formula>$A$3</formula>
    </cfRule>
  </conditionalFormatting>
  <conditionalFormatting sqref="K3:K40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26"/>
  <dimension ref="A1:XFB56"/>
  <sheetViews>
    <sheetView zoomScale="175" zoomScaleNormal="175" workbookViewId="0">
      <selection activeCell="F5" sqref="F5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4.08203125" style="3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4" width="6.08203125" style="3" hidden="1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4071</v>
      </c>
      <c r="E3" s="3"/>
      <c r="F3" s="7" t="s">
        <v>1</v>
      </c>
      <c r="G3" s="4">
        <v>38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-4287.7700000000004</v>
      </c>
      <c r="E4" s="3"/>
      <c r="F4" s="6" t="s">
        <v>413</v>
      </c>
      <c r="G4" s="5"/>
      <c r="I4" s="11" t="s">
        <v>10</v>
      </c>
      <c r="J4" s="12">
        <v>-244.8</v>
      </c>
      <c r="K4" s="11" t="s">
        <v>87</v>
      </c>
    </row>
    <row r="5" spans="3:11">
      <c r="C5" s="22" t="s">
        <v>12</v>
      </c>
      <c r="D5" s="23">
        <v>35.28</v>
      </c>
      <c r="E5" s="3"/>
      <c r="F5" s="24" t="s">
        <v>63</v>
      </c>
      <c r="G5" s="25"/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-34.4</v>
      </c>
      <c r="E6" s="3"/>
      <c r="F6" s="24" t="s">
        <v>384</v>
      </c>
      <c r="G6" s="25"/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0.88000000000000256</v>
      </c>
      <c r="E7" s="3" t="s">
        <v>19</v>
      </c>
      <c r="F7" s="26" t="s">
        <v>28</v>
      </c>
      <c r="G7" s="27">
        <f>SUM(G3:G6)</f>
        <v>38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-98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-27</v>
      </c>
      <c r="K9" s="11" t="s">
        <v>8</v>
      </c>
    </row>
    <row r="10" spans="3:11" ht="14">
      <c r="C10"/>
      <c r="D10"/>
      <c r="E10"/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/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/>
      <c r="I12" s="11" t="s">
        <v>30</v>
      </c>
      <c r="J12" s="12">
        <v>-11.99</v>
      </c>
      <c r="K12" s="11" t="s">
        <v>87</v>
      </c>
    </row>
    <row r="13" spans="3:11" ht="14">
      <c r="C13"/>
      <c r="D13"/>
      <c r="E13"/>
      <c r="F13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 t="s">
        <v>414</v>
      </c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-28</v>
      </c>
      <c r="K17" s="11" t="s">
        <v>87</v>
      </c>
    </row>
    <row r="18" spans="1:12" ht="14">
      <c r="C18"/>
      <c r="D18"/>
      <c r="E18"/>
      <c r="F18"/>
      <c r="I18" s="11" t="s">
        <v>39</v>
      </c>
      <c r="J18" s="12">
        <v>-2</v>
      </c>
      <c r="K18" s="11" t="s">
        <v>87</v>
      </c>
    </row>
    <row r="19" spans="1:12" ht="14">
      <c r="C19"/>
      <c r="D19"/>
      <c r="E19"/>
      <c r="F19"/>
      <c r="I19" s="11" t="s">
        <v>42</v>
      </c>
      <c r="J19" s="12">
        <v>-510</v>
      </c>
      <c r="K19" s="11" t="s">
        <v>87</v>
      </c>
    </row>
    <row r="20" spans="1:12" ht="14">
      <c r="C20"/>
      <c r="D20"/>
      <c r="E20"/>
      <c r="F20"/>
      <c r="I20" s="11" t="s">
        <v>403</v>
      </c>
      <c r="J20" s="12">
        <v>-683</v>
      </c>
      <c r="K20" s="11" t="s">
        <v>87</v>
      </c>
    </row>
    <row r="21" spans="1:12" ht="14">
      <c r="C21"/>
      <c r="D21"/>
      <c r="E21"/>
      <c r="F21"/>
      <c r="I21" s="11" t="s">
        <v>47</v>
      </c>
      <c r="J21" s="12">
        <v>-12.5</v>
      </c>
      <c r="K21" s="11" t="s">
        <v>87</v>
      </c>
    </row>
    <row r="22" spans="1:12" ht="14">
      <c r="C22"/>
      <c r="D22"/>
      <c r="E22"/>
      <c r="F22"/>
      <c r="I22" s="11" t="s">
        <v>382</v>
      </c>
      <c r="J22" s="12">
        <v>-10</v>
      </c>
      <c r="K22" s="11" t="s">
        <v>87</v>
      </c>
    </row>
    <row r="23" spans="1:12" ht="14">
      <c r="C23"/>
      <c r="D23"/>
      <c r="E23"/>
      <c r="F23"/>
      <c r="I23" s="11" t="s">
        <v>49</v>
      </c>
      <c r="J23" s="12">
        <v>-900</v>
      </c>
      <c r="K23" s="11" t="s">
        <v>87</v>
      </c>
    </row>
    <row r="24" spans="1:12" ht="14">
      <c r="C24"/>
      <c r="D24"/>
      <c r="E24"/>
      <c r="F24"/>
      <c r="G24" s="3" t="s">
        <v>391</v>
      </c>
      <c r="I24" s="11" t="s">
        <v>405</v>
      </c>
      <c r="J24" s="12">
        <v>-10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</v>
      </c>
    </row>
    <row r="26" spans="1:12">
      <c r="C26" s="31"/>
      <c r="E26" s="32"/>
      <c r="G26" s="3" t="s">
        <v>392</v>
      </c>
      <c r="I26" s="11" t="s">
        <v>54</v>
      </c>
      <c r="J26" s="12">
        <v>-32</v>
      </c>
      <c r="K26" s="11" t="s">
        <v>87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415</v>
      </c>
      <c r="J28" s="12">
        <v>-250</v>
      </c>
      <c r="K28" s="11" t="s">
        <v>87</v>
      </c>
    </row>
    <row r="29" spans="1:12">
      <c r="C29" s="31"/>
      <c r="E29" s="32"/>
      <c r="I29" s="11" t="s">
        <v>406</v>
      </c>
      <c r="J29" s="12">
        <v>-3</v>
      </c>
      <c r="K29" s="11" t="s">
        <v>87</v>
      </c>
      <c r="L29" s="15"/>
    </row>
    <row r="30" spans="1:12">
      <c r="C30" s="31"/>
      <c r="E30" s="32"/>
      <c r="I30" s="11" t="s">
        <v>63</v>
      </c>
      <c r="J30" s="12">
        <v>-200</v>
      </c>
      <c r="K30" s="11" t="s">
        <v>87</v>
      </c>
    </row>
    <row r="31" spans="1:12">
      <c r="A31" s="14"/>
      <c r="B31" s="14"/>
      <c r="C31" s="31"/>
      <c r="E31" s="32"/>
      <c r="I31" s="11" t="s">
        <v>411</v>
      </c>
      <c r="J31" s="12">
        <v>-25</v>
      </c>
      <c r="K31" s="11" t="s">
        <v>87</v>
      </c>
    </row>
    <row r="32" spans="1:12">
      <c r="C32" s="31"/>
      <c r="E32" s="32"/>
      <c r="H32" s="30"/>
      <c r="I32" s="11" t="s">
        <v>25</v>
      </c>
      <c r="J32" s="12">
        <v>-26.39</v>
      </c>
      <c r="K32" s="11" t="s">
        <v>87</v>
      </c>
    </row>
    <row r="33" spans="8:11">
      <c r="H33" s="30"/>
      <c r="I33" s="11"/>
      <c r="J33" s="12"/>
      <c r="K33" s="11" t="s">
        <v>8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2F000000}"/>
  <conditionalFormatting sqref="I3:K3">
    <cfRule type="expression" dxfId="1" priority="1">
      <formula>$A$3</formula>
    </cfRule>
  </conditionalFormatting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7"/>
  <dimension ref="A1:XFB56"/>
  <sheetViews>
    <sheetView zoomScale="130" zoomScaleNormal="130" workbookViewId="0">
      <selection activeCell="F5" sqref="F5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4.08203125" style="3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4" width="6.08203125" style="3" hidden="1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3723.32</v>
      </c>
      <c r="E3" s="3"/>
      <c r="F3" s="7" t="s">
        <v>1</v>
      </c>
      <c r="G3" s="4">
        <v>100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-3516.42</v>
      </c>
      <c r="E4" s="3"/>
      <c r="F4" s="6" t="s">
        <v>155</v>
      </c>
      <c r="G4" s="5">
        <v>20</v>
      </c>
      <c r="I4" s="11" t="s">
        <v>10</v>
      </c>
      <c r="J4" s="12">
        <v>-233</v>
      </c>
      <c r="K4" s="11" t="s">
        <v>87</v>
      </c>
    </row>
    <row r="5" spans="3:11">
      <c r="C5" s="22" t="s">
        <v>12</v>
      </c>
      <c r="D5" s="23">
        <v>28.53</v>
      </c>
      <c r="E5" s="3"/>
      <c r="F5" s="24" t="s">
        <v>63</v>
      </c>
      <c r="G5" s="25">
        <v>46</v>
      </c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-27</v>
      </c>
      <c r="E6" s="3"/>
      <c r="F6" s="24" t="s">
        <v>384</v>
      </c>
      <c r="G6" s="25">
        <v>233</v>
      </c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1.5300000000000011</v>
      </c>
      <c r="E7" s="3" t="s">
        <v>19</v>
      </c>
      <c r="F7" s="26" t="s">
        <v>28</v>
      </c>
      <c r="G7" s="27">
        <f>SUM(G3:G6)</f>
        <v>399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-98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-27</v>
      </c>
      <c r="K9" s="11" t="s">
        <v>8</v>
      </c>
    </row>
    <row r="10" spans="3:11" ht="14">
      <c r="C10"/>
      <c r="D10"/>
      <c r="E10"/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/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/>
      <c r="I12" s="11" t="s">
        <v>30</v>
      </c>
      <c r="J12" s="12">
        <v>-11.99</v>
      </c>
      <c r="K12" s="11" t="s">
        <v>87</v>
      </c>
    </row>
    <row r="13" spans="3:11" ht="14">
      <c r="C13"/>
      <c r="D13"/>
      <c r="E13"/>
      <c r="F13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 t="s">
        <v>414</v>
      </c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-30.3</v>
      </c>
      <c r="K17" s="11" t="s">
        <v>87</v>
      </c>
    </row>
    <row r="18" spans="1:12" ht="14">
      <c r="C18"/>
      <c r="D18"/>
      <c r="E18"/>
      <c r="F18"/>
      <c r="I18" s="11" t="s">
        <v>39</v>
      </c>
      <c r="J18" s="12">
        <v>-2</v>
      </c>
      <c r="K18" s="11" t="s">
        <v>87</v>
      </c>
    </row>
    <row r="19" spans="1:12" ht="14">
      <c r="C19"/>
      <c r="D19"/>
      <c r="E19"/>
      <c r="F19"/>
      <c r="I19" s="11" t="s">
        <v>42</v>
      </c>
      <c r="J19" s="12">
        <v>-538</v>
      </c>
      <c r="K19" s="11" t="s">
        <v>87</v>
      </c>
    </row>
    <row r="20" spans="1:12" ht="14">
      <c r="C20"/>
      <c r="D20"/>
      <c r="E20"/>
      <c r="F20"/>
      <c r="I20" s="11" t="s">
        <v>121</v>
      </c>
      <c r="J20" s="12">
        <v>-300</v>
      </c>
      <c r="K20" s="11" t="s">
        <v>87</v>
      </c>
    </row>
    <row r="21" spans="1:12" ht="14">
      <c r="C21"/>
      <c r="D21"/>
      <c r="E21"/>
      <c r="F21"/>
      <c r="I21" s="11" t="s">
        <v>47</v>
      </c>
      <c r="J21" s="12">
        <v>-12.5</v>
      </c>
      <c r="K21" s="11" t="s">
        <v>87</v>
      </c>
    </row>
    <row r="22" spans="1:12" ht="14">
      <c r="C22"/>
      <c r="D22"/>
      <c r="E22"/>
      <c r="F22"/>
      <c r="I22" s="11" t="s">
        <v>382</v>
      </c>
      <c r="J22" s="12"/>
      <c r="K22" s="11" t="s">
        <v>8</v>
      </c>
    </row>
    <row r="23" spans="1:12" ht="14">
      <c r="C23"/>
      <c r="D23"/>
      <c r="E23"/>
      <c r="F23"/>
      <c r="I23" s="11" t="s">
        <v>49</v>
      </c>
      <c r="J23" s="12">
        <v>-750</v>
      </c>
      <c r="K23" s="11" t="s">
        <v>87</v>
      </c>
    </row>
    <row r="24" spans="1:12" ht="14">
      <c r="C24"/>
      <c r="D24"/>
      <c r="E24"/>
      <c r="F24"/>
      <c r="G24" s="3" t="s">
        <v>391</v>
      </c>
      <c r="I24" s="11" t="s">
        <v>405</v>
      </c>
      <c r="J24" s="12">
        <v>-10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87</v>
      </c>
    </row>
    <row r="26" spans="1:12">
      <c r="C26" s="31"/>
      <c r="E26" s="32"/>
      <c r="G26" s="3" t="s">
        <v>392</v>
      </c>
      <c r="I26" s="11" t="s">
        <v>54</v>
      </c>
      <c r="J26" s="12">
        <v>-15</v>
      </c>
      <c r="K26" s="11" t="s">
        <v>87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176</v>
      </c>
      <c r="J28" s="12">
        <v>-12.75</v>
      </c>
      <c r="K28" s="11" t="s">
        <v>87</v>
      </c>
    </row>
    <row r="29" spans="1:12">
      <c r="C29" s="31"/>
      <c r="E29" s="32"/>
      <c r="I29" s="11" t="s">
        <v>406</v>
      </c>
      <c r="J29" s="12">
        <v>-3</v>
      </c>
      <c r="K29" s="11" t="s">
        <v>87</v>
      </c>
      <c r="L29" s="15"/>
    </row>
    <row r="30" spans="1:12">
      <c r="C30" s="31"/>
      <c r="E30" s="32"/>
      <c r="I30" s="11" t="s">
        <v>63</v>
      </c>
      <c r="J30" s="12">
        <v>-160</v>
      </c>
      <c r="K30" s="11" t="s">
        <v>87</v>
      </c>
    </row>
    <row r="31" spans="1:12">
      <c r="A31" s="14"/>
      <c r="B31" s="14"/>
      <c r="C31" s="31"/>
      <c r="E31" s="32"/>
      <c r="I31" s="11" t="s">
        <v>411</v>
      </c>
      <c r="J31" s="12">
        <v>-25</v>
      </c>
      <c r="K31" s="11" t="s">
        <v>87</v>
      </c>
    </row>
    <row r="32" spans="1:12">
      <c r="C32" s="31"/>
      <c r="E32" s="32"/>
      <c r="H32" s="30"/>
      <c r="I32" s="11"/>
      <c r="J32" s="12"/>
      <c r="K32" s="11" t="s">
        <v>8</v>
      </c>
    </row>
    <row r="33" spans="8:11">
      <c r="H33" s="30"/>
      <c r="I33" s="11"/>
      <c r="J33" s="12"/>
      <c r="K33" s="11" t="s">
        <v>8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30000000}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28"/>
  <dimension ref="A1:XFB56"/>
  <sheetViews>
    <sheetView zoomScale="130" zoomScaleNormal="130" workbookViewId="0">
      <selection activeCell="F5" sqref="F5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4.08203125" style="3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4" width="6.08203125" style="3" hidden="1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3728.52</v>
      </c>
      <c r="E3" s="3"/>
      <c r="F3" s="7" t="s">
        <v>1</v>
      </c>
      <c r="G3" s="4">
        <v>176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-3598.02</v>
      </c>
      <c r="E4" s="3"/>
      <c r="F4" s="6" t="s">
        <v>416</v>
      </c>
      <c r="G4" s="5">
        <v>20</v>
      </c>
      <c r="I4" s="11" t="s">
        <v>10</v>
      </c>
      <c r="J4" s="12">
        <v>-233</v>
      </c>
      <c r="K4" s="11" t="s">
        <v>87</v>
      </c>
    </row>
    <row r="5" spans="3:11">
      <c r="C5" s="22" t="s">
        <v>12</v>
      </c>
      <c r="D5" s="23">
        <v>34.94</v>
      </c>
      <c r="E5" s="3"/>
      <c r="F5" s="24" t="s">
        <v>417</v>
      </c>
      <c r="G5" s="25">
        <v>100</v>
      </c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-29.4</v>
      </c>
      <c r="E6" s="3"/>
      <c r="F6" s="24"/>
      <c r="G6" s="25"/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5.5399999999999991</v>
      </c>
      <c r="E7" s="3" t="s">
        <v>19</v>
      </c>
      <c r="F7" s="26" t="s">
        <v>28</v>
      </c>
      <c r="G7" s="27">
        <f>SUM(G3:G6)</f>
        <v>296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-98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-22</v>
      </c>
      <c r="K9" s="11" t="s">
        <v>8</v>
      </c>
    </row>
    <row r="10" spans="3:11" ht="14">
      <c r="C10"/>
      <c r="D10"/>
      <c r="E10"/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/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/>
      <c r="I12" s="11" t="s">
        <v>30</v>
      </c>
      <c r="J12" s="12">
        <v>-11.99</v>
      </c>
      <c r="K12" s="11" t="s">
        <v>87</v>
      </c>
    </row>
    <row r="13" spans="3:11" ht="14">
      <c r="C13"/>
      <c r="D13"/>
      <c r="E13"/>
      <c r="F13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 t="s">
        <v>414</v>
      </c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-30.3</v>
      </c>
      <c r="K17" s="11" t="s">
        <v>87</v>
      </c>
    </row>
    <row r="18" spans="1:12" ht="14">
      <c r="C18"/>
      <c r="D18"/>
      <c r="E18"/>
      <c r="F18"/>
      <c r="I18" s="11" t="s">
        <v>39</v>
      </c>
      <c r="J18" s="12">
        <v>-2</v>
      </c>
      <c r="K18" s="11" t="s">
        <v>87</v>
      </c>
    </row>
    <row r="19" spans="1:12" ht="14">
      <c r="C19"/>
      <c r="D19"/>
      <c r="E19"/>
      <c r="F19"/>
      <c r="I19" s="11" t="s">
        <v>42</v>
      </c>
      <c r="J19" s="12">
        <v>-556</v>
      </c>
      <c r="K19" s="11" t="s">
        <v>87</v>
      </c>
    </row>
    <row r="20" spans="1:12" ht="14">
      <c r="C20"/>
      <c r="D20"/>
      <c r="E20"/>
      <c r="F20"/>
      <c r="I20" s="11" t="s">
        <v>121</v>
      </c>
      <c r="J20" s="12">
        <v>-285</v>
      </c>
      <c r="K20" s="11" t="s">
        <v>87</v>
      </c>
    </row>
    <row r="21" spans="1:12" ht="14">
      <c r="C21"/>
      <c r="D21"/>
      <c r="E21"/>
      <c r="F21"/>
      <c r="I21" s="11" t="s">
        <v>47</v>
      </c>
      <c r="J21" s="12">
        <v>-12.5</v>
      </c>
      <c r="K21" s="11" t="s">
        <v>87</v>
      </c>
    </row>
    <row r="22" spans="1:12" ht="14">
      <c r="C22"/>
      <c r="D22"/>
      <c r="E22"/>
      <c r="F22"/>
      <c r="I22" s="11" t="s">
        <v>382</v>
      </c>
      <c r="J22" s="12">
        <v>-10</v>
      </c>
      <c r="K22" s="11" t="s">
        <v>87</v>
      </c>
    </row>
    <row r="23" spans="1:12" ht="14">
      <c r="C23"/>
      <c r="D23"/>
      <c r="E23"/>
      <c r="F23"/>
      <c r="I23" s="11" t="s">
        <v>49</v>
      </c>
      <c r="J23" s="12">
        <v>-750</v>
      </c>
      <c r="K23" s="11" t="s">
        <v>87</v>
      </c>
    </row>
    <row r="24" spans="1:12" ht="14">
      <c r="C24"/>
      <c r="D24"/>
      <c r="E24"/>
      <c r="F24"/>
      <c r="G24" s="3" t="s">
        <v>391</v>
      </c>
      <c r="I24" s="11" t="s">
        <v>405</v>
      </c>
      <c r="J24" s="12">
        <v>-32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</v>
      </c>
    </row>
    <row r="26" spans="1:12">
      <c r="C26" s="31"/>
      <c r="E26" s="32"/>
      <c r="G26" s="3" t="s">
        <v>392</v>
      </c>
      <c r="I26" s="11" t="s">
        <v>54</v>
      </c>
      <c r="J26" s="12">
        <v>-69</v>
      </c>
      <c r="K26" s="11" t="s">
        <v>87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176</v>
      </c>
      <c r="J28" s="12">
        <v>-12.75</v>
      </c>
      <c r="K28" s="11" t="s">
        <v>87</v>
      </c>
    </row>
    <row r="29" spans="1:12">
      <c r="C29" s="31"/>
      <c r="E29" s="32"/>
      <c r="I29" s="11" t="s">
        <v>406</v>
      </c>
      <c r="J29" s="12">
        <v>-3</v>
      </c>
      <c r="K29" s="11" t="s">
        <v>87</v>
      </c>
      <c r="L29" s="15"/>
    </row>
    <row r="30" spans="1:12">
      <c r="C30" s="31"/>
      <c r="E30" s="32"/>
      <c r="I30" s="11" t="s">
        <v>60</v>
      </c>
      <c r="J30" s="12">
        <v>-85</v>
      </c>
      <c r="K30" s="11" t="s">
        <v>87</v>
      </c>
    </row>
    <row r="31" spans="1:12">
      <c r="A31" s="14"/>
      <c r="B31" s="14"/>
      <c r="C31" s="31"/>
      <c r="E31" s="32"/>
      <c r="I31" s="11" t="s">
        <v>418</v>
      </c>
      <c r="J31" s="12">
        <v>-22</v>
      </c>
      <c r="K31" s="11" t="s">
        <v>87</v>
      </c>
    </row>
    <row r="32" spans="1:12">
      <c r="C32" s="31"/>
      <c r="E32" s="32"/>
      <c r="H32" s="30"/>
      <c r="I32" s="11" t="s">
        <v>404</v>
      </c>
      <c r="J32" s="12">
        <v>-7.4</v>
      </c>
      <c r="K32" s="11" t="s">
        <v>87</v>
      </c>
    </row>
    <row r="33" spans="8:11">
      <c r="H33" s="30"/>
      <c r="I33" s="11" t="s">
        <v>419</v>
      </c>
      <c r="J33" s="12">
        <v>-20</v>
      </c>
      <c r="K33" s="11" t="s">
        <v>87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31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29"/>
  <dimension ref="A1:XFB56"/>
  <sheetViews>
    <sheetView topLeftCell="B1" zoomScale="120" zoomScaleNormal="120" workbookViewId="0">
      <selection activeCell="F5" sqref="F5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4.08203125" style="3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4" width="6.08203125" style="3" hidden="1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3722.64</v>
      </c>
      <c r="E3" s="3"/>
      <c r="F3" s="7" t="s">
        <v>1</v>
      </c>
      <c r="G3" s="4">
        <v>215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-3664.51</v>
      </c>
      <c r="E4" s="3"/>
      <c r="F4" s="6" t="s">
        <v>155</v>
      </c>
      <c r="G4" s="5"/>
      <c r="I4" s="11" t="s">
        <v>10</v>
      </c>
      <c r="J4" s="12">
        <v>-233</v>
      </c>
      <c r="K4" s="11" t="s">
        <v>87</v>
      </c>
    </row>
    <row r="5" spans="3:11">
      <c r="C5" s="22" t="s">
        <v>12</v>
      </c>
      <c r="D5" s="23">
        <v>36.82</v>
      </c>
      <c r="E5" s="3"/>
      <c r="F5" s="24"/>
      <c r="G5" s="25"/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-29.4</v>
      </c>
      <c r="E6" s="3"/>
      <c r="F6" s="24"/>
      <c r="G6" s="25"/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7.4200000000000017</v>
      </c>
      <c r="E7" s="3" t="s">
        <v>19</v>
      </c>
      <c r="F7" s="26" t="s">
        <v>28</v>
      </c>
      <c r="G7" s="27">
        <f>SUM(G3:G6)</f>
        <v>215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-98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-22</v>
      </c>
      <c r="K9" s="11" t="s">
        <v>8</v>
      </c>
    </row>
    <row r="10" spans="3:11" ht="14">
      <c r="C10"/>
      <c r="D10"/>
      <c r="E10"/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/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/>
      <c r="I12" s="11" t="s">
        <v>30</v>
      </c>
      <c r="J12" s="12">
        <v>-11.99</v>
      </c>
      <c r="K12" s="11" t="s">
        <v>87</v>
      </c>
    </row>
    <row r="13" spans="3:11" ht="14">
      <c r="C13"/>
      <c r="D13"/>
      <c r="E13"/>
      <c r="F13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 t="s">
        <v>414</v>
      </c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-30.3</v>
      </c>
      <c r="K17" s="11" t="s">
        <v>87</v>
      </c>
    </row>
    <row r="18" spans="1:12" ht="14">
      <c r="C18"/>
      <c r="D18" t="s">
        <v>420</v>
      </c>
      <c r="E18"/>
      <c r="F18"/>
      <c r="I18" s="11" t="s">
        <v>387</v>
      </c>
      <c r="J18" s="12">
        <v>-5.99</v>
      </c>
      <c r="K18" s="11" t="s">
        <v>87</v>
      </c>
    </row>
    <row r="19" spans="1:12" ht="14">
      <c r="C19"/>
      <c r="D19" t="s">
        <v>420</v>
      </c>
      <c r="E19"/>
      <c r="F19"/>
      <c r="I19" s="11" t="s">
        <v>42</v>
      </c>
      <c r="J19" s="12">
        <v>-552</v>
      </c>
      <c r="K19" s="11" t="s">
        <v>87</v>
      </c>
    </row>
    <row r="20" spans="1:12" ht="14">
      <c r="C20"/>
      <c r="D20" t="s">
        <v>420</v>
      </c>
      <c r="E20"/>
      <c r="F20"/>
      <c r="I20" s="11" t="s">
        <v>121</v>
      </c>
      <c r="J20" s="12"/>
      <c r="K20" s="11" t="s">
        <v>8</v>
      </c>
    </row>
    <row r="21" spans="1:12" ht="14">
      <c r="C21"/>
      <c r="D21" t="s">
        <v>421</v>
      </c>
      <c r="E21"/>
      <c r="F21"/>
      <c r="I21" s="11" t="s">
        <v>47</v>
      </c>
      <c r="J21" s="12">
        <v>-10</v>
      </c>
      <c r="K21" s="11" t="s">
        <v>87</v>
      </c>
    </row>
    <row r="22" spans="1:12" ht="14">
      <c r="C22"/>
      <c r="D22"/>
      <c r="E22"/>
      <c r="F22"/>
      <c r="I22" s="11" t="s">
        <v>116</v>
      </c>
      <c r="J22" s="12">
        <v>-150</v>
      </c>
      <c r="K22" s="11" t="s">
        <v>87</v>
      </c>
    </row>
    <row r="23" spans="1:12" ht="14">
      <c r="C23"/>
      <c r="D23"/>
      <c r="E23"/>
      <c r="F23"/>
      <c r="I23" s="11" t="s">
        <v>49</v>
      </c>
      <c r="J23" s="12">
        <v>-750</v>
      </c>
      <c r="K23" s="11" t="s">
        <v>87</v>
      </c>
    </row>
    <row r="24" spans="1:12" ht="14">
      <c r="C24"/>
      <c r="D24"/>
      <c r="E24"/>
      <c r="F24"/>
      <c r="G24" s="3" t="s">
        <v>391</v>
      </c>
      <c r="I24" s="11" t="s">
        <v>422</v>
      </c>
      <c r="J24" s="12">
        <v>-20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</v>
      </c>
    </row>
    <row r="26" spans="1:12">
      <c r="C26" s="31"/>
      <c r="E26" s="32"/>
      <c r="G26" s="3" t="s">
        <v>392</v>
      </c>
      <c r="I26" s="11" t="s">
        <v>54</v>
      </c>
      <c r="J26" s="12">
        <v>-98</v>
      </c>
      <c r="K26" s="11" t="s">
        <v>87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176</v>
      </c>
      <c r="J28" s="12">
        <v>-12.75</v>
      </c>
      <c r="K28" s="11" t="s">
        <v>87</v>
      </c>
    </row>
    <row r="29" spans="1:12">
      <c r="C29" s="31"/>
      <c r="E29" s="32"/>
      <c r="I29" s="11" t="s">
        <v>60</v>
      </c>
      <c r="J29" s="12">
        <v>-200</v>
      </c>
      <c r="K29" s="11" t="s">
        <v>87</v>
      </c>
      <c r="L29" s="15"/>
    </row>
    <row r="30" spans="1:12">
      <c r="C30" s="31"/>
      <c r="E30" s="32"/>
      <c r="I30" s="11" t="s">
        <v>423</v>
      </c>
      <c r="J30" s="12">
        <v>-60</v>
      </c>
      <c r="K30" s="11" t="s">
        <v>87</v>
      </c>
    </row>
    <row r="31" spans="1:12">
      <c r="A31" s="14"/>
      <c r="B31" s="14"/>
      <c r="C31" s="31"/>
      <c r="E31" s="32"/>
      <c r="I31" s="11"/>
      <c r="J31" s="12"/>
      <c r="K31" s="11" t="s">
        <v>87</v>
      </c>
    </row>
    <row r="32" spans="1:12">
      <c r="C32" s="31"/>
      <c r="E32" s="32"/>
      <c r="H32" s="30"/>
      <c r="I32" s="11"/>
      <c r="J32" s="12"/>
      <c r="K32" s="11" t="s">
        <v>8</v>
      </c>
    </row>
    <row r="33" spans="8:11">
      <c r="H33" s="30"/>
      <c r="I33" s="11"/>
      <c r="J33" s="12"/>
      <c r="K33" s="11" t="s">
        <v>8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32000000}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30"/>
  <dimension ref="A2:D15"/>
  <sheetViews>
    <sheetView workbookViewId="0">
      <selection activeCell="F5" sqref="F5"/>
    </sheetView>
  </sheetViews>
  <sheetFormatPr defaultRowHeight="14"/>
  <cols>
    <col min="2" max="2" width="14.58203125" customWidth="1"/>
    <col min="3" max="3" width="11" bestFit="1" customWidth="1"/>
  </cols>
  <sheetData>
    <row r="2" spans="1:4">
      <c r="C2" t="s">
        <v>6</v>
      </c>
      <c r="D2" t="s">
        <v>424</v>
      </c>
    </row>
    <row r="3" spans="1:4">
      <c r="A3" t="s">
        <v>6</v>
      </c>
      <c r="B3" s="85" t="s">
        <v>425</v>
      </c>
      <c r="C3" s="84">
        <f>'Jan2020'!C2</f>
        <v>5025</v>
      </c>
    </row>
    <row r="4" spans="1:4">
      <c r="B4" t="s">
        <v>426</v>
      </c>
      <c r="C4" s="84">
        <f>'Feb2020'!C2</f>
        <v>3830.96</v>
      </c>
    </row>
    <row r="5" spans="1:4">
      <c r="B5" t="s">
        <v>427</v>
      </c>
      <c r="C5" s="84">
        <f>'Mar2020'!C2</f>
        <v>3710</v>
      </c>
    </row>
    <row r="6" spans="1:4">
      <c r="B6" t="s">
        <v>428</v>
      </c>
      <c r="C6" s="84">
        <f>'Apr2020'!C2</f>
        <v>3714.96</v>
      </c>
    </row>
    <row r="7" spans="1:4">
      <c r="B7" t="s">
        <v>429</v>
      </c>
      <c r="C7" s="84">
        <f>'May2020'!C2</f>
        <v>3723.72</v>
      </c>
    </row>
    <row r="8" spans="1:4">
      <c r="B8" t="s">
        <v>430</v>
      </c>
      <c r="C8" s="84">
        <f>'Jun2020'!D3</f>
        <v>3624.12</v>
      </c>
    </row>
    <row r="9" spans="1:4">
      <c r="B9" t="s">
        <v>431</v>
      </c>
      <c r="C9" s="84">
        <f>'Jul2020'!D3</f>
        <v>3818.52</v>
      </c>
    </row>
    <row r="10" spans="1:4">
      <c r="B10" t="s">
        <v>432</v>
      </c>
      <c r="C10" s="84"/>
    </row>
    <row r="11" spans="1:4">
      <c r="B11" t="s">
        <v>433</v>
      </c>
      <c r="C11" s="84"/>
    </row>
    <row r="12" spans="1:4">
      <c r="B12" t="s">
        <v>434</v>
      </c>
      <c r="C12" s="84"/>
    </row>
    <row r="13" spans="1:4">
      <c r="B13" t="s">
        <v>435</v>
      </c>
      <c r="C13" s="84"/>
    </row>
    <row r="14" spans="1:4">
      <c r="B14" t="s">
        <v>436</v>
      </c>
      <c r="C14" s="84"/>
    </row>
    <row r="15" spans="1:4">
      <c r="B15" t="s">
        <v>18</v>
      </c>
      <c r="C15" s="84">
        <f>SUM(C3:C14)</f>
        <v>27447.279999999999</v>
      </c>
    </row>
  </sheetData>
  <hyperlinks>
    <hyperlink ref="B3" location="'Jan2020'!A1" display="Jan" xr:uid="{00000000-0004-0000-3300-000000000000}"/>
  </hyperlink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1"/>
  <dimension ref="A1:XFB56"/>
  <sheetViews>
    <sheetView topLeftCell="B1" zoomScale="120" zoomScaleNormal="120" workbookViewId="0">
      <selection activeCell="F5" sqref="F5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4.08203125" style="3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4" width="6.08203125" style="3" hidden="1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3818.52</v>
      </c>
      <c r="E3" s="3"/>
      <c r="F3" s="7" t="s">
        <v>1</v>
      </c>
      <c r="G3" s="4">
        <v>410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-3848.51</v>
      </c>
      <c r="E4" s="3"/>
      <c r="F4" s="6" t="s">
        <v>437</v>
      </c>
      <c r="G4" s="5">
        <v>20</v>
      </c>
      <c r="I4" s="11" t="s">
        <v>10</v>
      </c>
      <c r="J4" s="12">
        <v>-233</v>
      </c>
      <c r="K4" s="11" t="s">
        <v>87</v>
      </c>
    </row>
    <row r="5" spans="3:11">
      <c r="C5" s="22" t="s">
        <v>12</v>
      </c>
      <c r="D5" s="23">
        <v>30.52</v>
      </c>
      <c r="E5" s="3"/>
      <c r="F5" s="24" t="s">
        <v>116</v>
      </c>
      <c r="G5" s="25"/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-29.4</v>
      </c>
      <c r="E6" s="3"/>
      <c r="F6" s="24"/>
      <c r="G6" s="25"/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1.120000000000001</v>
      </c>
      <c r="E7" s="3" t="s">
        <v>19</v>
      </c>
      <c r="F7" s="26" t="s">
        <v>28</v>
      </c>
      <c r="G7" s="27">
        <f>SUM(G3:G6)</f>
        <v>430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-98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-22</v>
      </c>
      <c r="K9" s="11" t="s">
        <v>8</v>
      </c>
    </row>
    <row r="10" spans="3:11" ht="14">
      <c r="C10"/>
      <c r="D10"/>
      <c r="E10"/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/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/>
      <c r="I12" s="11" t="s">
        <v>30</v>
      </c>
      <c r="J12" s="12">
        <v>-11.99</v>
      </c>
      <c r="K12" s="11" t="s">
        <v>87</v>
      </c>
    </row>
    <row r="13" spans="3:11" ht="14">
      <c r="C13"/>
      <c r="D13"/>
      <c r="E13"/>
      <c r="F13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 t="s">
        <v>414</v>
      </c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-30.3</v>
      </c>
      <c r="K17" s="11" t="s">
        <v>87</v>
      </c>
    </row>
    <row r="18" spans="1:12" ht="14">
      <c r="C18"/>
      <c r="D18"/>
      <c r="E18"/>
      <c r="F18"/>
      <c r="I18" s="11" t="s">
        <v>387</v>
      </c>
      <c r="J18" s="12">
        <v>-5.99</v>
      </c>
      <c r="K18" s="11" t="s">
        <v>87</v>
      </c>
    </row>
    <row r="19" spans="1:12" ht="14">
      <c r="C19"/>
      <c r="D19"/>
      <c r="E19"/>
      <c r="F19"/>
      <c r="I19" s="11" t="s">
        <v>42</v>
      </c>
      <c r="J19" s="12">
        <v>-268</v>
      </c>
      <c r="K19" s="11" t="s">
        <v>87</v>
      </c>
    </row>
    <row r="20" spans="1:12" ht="14">
      <c r="C20"/>
      <c r="D20"/>
      <c r="E20"/>
      <c r="F20"/>
      <c r="I20" s="11" t="s">
        <v>121</v>
      </c>
      <c r="J20" s="12">
        <v>-300</v>
      </c>
      <c r="K20" s="11" t="s">
        <v>87</v>
      </c>
    </row>
    <row r="21" spans="1:12" ht="14">
      <c r="C21"/>
      <c r="D21"/>
      <c r="E21"/>
      <c r="F21"/>
      <c r="I21" s="11" t="s">
        <v>47</v>
      </c>
      <c r="J21" s="12">
        <v>-10</v>
      </c>
      <c r="K21" s="11" t="s">
        <v>87</v>
      </c>
    </row>
    <row r="22" spans="1:12" ht="14">
      <c r="C22"/>
      <c r="D22"/>
      <c r="E22"/>
      <c r="F22"/>
      <c r="I22" s="11" t="s">
        <v>438</v>
      </c>
      <c r="J22" s="12">
        <v>-50</v>
      </c>
      <c r="K22" s="11" t="s">
        <v>87</v>
      </c>
    </row>
    <row r="23" spans="1:12" ht="14">
      <c r="C23"/>
      <c r="D23"/>
      <c r="E23"/>
      <c r="F23"/>
      <c r="I23" s="11" t="s">
        <v>49</v>
      </c>
      <c r="J23" s="12">
        <v>-900</v>
      </c>
      <c r="K23" s="11" t="s">
        <v>87</v>
      </c>
    </row>
    <row r="24" spans="1:12" ht="14">
      <c r="C24"/>
      <c r="D24"/>
      <c r="E24"/>
      <c r="F24"/>
      <c r="I24" s="11" t="s">
        <v>422</v>
      </c>
      <c r="J24" s="12">
        <v>-10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</v>
      </c>
    </row>
    <row r="26" spans="1:12">
      <c r="C26" s="31"/>
      <c r="E26" s="32"/>
      <c r="I26" s="11" t="s">
        <v>54</v>
      </c>
      <c r="J26" s="12">
        <v>-46</v>
      </c>
      <c r="K26" s="11" t="s">
        <v>87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176</v>
      </c>
      <c r="J28" s="12">
        <v>-12.75</v>
      </c>
      <c r="K28" s="11" t="s">
        <v>87</v>
      </c>
    </row>
    <row r="29" spans="1:12">
      <c r="C29" s="31"/>
      <c r="E29" s="32"/>
      <c r="I29" s="11" t="s">
        <v>439</v>
      </c>
      <c r="J29" s="12">
        <v>-380</v>
      </c>
      <c r="K29" s="11" t="s">
        <v>87</v>
      </c>
      <c r="L29" s="15"/>
    </row>
    <row r="30" spans="1:12">
      <c r="C30" s="31"/>
      <c r="E30" s="32"/>
      <c r="I30" s="11"/>
      <c r="J30" s="12"/>
      <c r="K30" s="11" t="s">
        <v>8</v>
      </c>
    </row>
    <row r="31" spans="1:12">
      <c r="A31" s="14"/>
      <c r="B31" s="14"/>
      <c r="C31" s="31"/>
      <c r="E31" s="32"/>
      <c r="I31" s="11"/>
      <c r="J31" s="12"/>
      <c r="K31" s="11" t="s">
        <v>8</v>
      </c>
    </row>
    <row r="32" spans="1:12">
      <c r="C32" s="31"/>
      <c r="E32" s="32"/>
      <c r="H32" s="30"/>
      <c r="I32" s="11"/>
      <c r="J32" s="12"/>
      <c r="K32" s="11" t="s">
        <v>8</v>
      </c>
    </row>
    <row r="33" spans="8:11">
      <c r="H33" s="30"/>
      <c r="I33" s="11"/>
      <c r="J33" s="12"/>
      <c r="K33" s="11" t="s">
        <v>8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34000000}"/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32"/>
  <dimension ref="A1:XFB56"/>
  <sheetViews>
    <sheetView topLeftCell="A2" zoomScale="120" zoomScaleNormal="120" workbookViewId="0">
      <selection activeCell="D6" sqref="D6"/>
    </sheetView>
  </sheetViews>
  <sheetFormatPr defaultColWidth="8.58203125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4" style="2" customWidth="1"/>
    <col min="6" max="6" width="16.08203125" style="3" bestFit="1" customWidth="1"/>
    <col min="7" max="7" width="14.08203125" style="3" customWidth="1"/>
    <col min="8" max="8" width="2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1" width="0" style="3" hidden="1" customWidth="1"/>
    <col min="16382" max="16382" width="2.58203125" style="3" hidden="1" customWidth="1"/>
    <col min="16383" max="16384" width="6.08203125" style="3" hidden="1" customWidth="1"/>
  </cols>
  <sheetData>
    <row r="1" spans="3:11" ht="9" customHeight="1">
      <c r="C1" s="31"/>
      <c r="E1" s="32"/>
    </row>
    <row r="2" spans="3:11" ht="15" thickBot="1">
      <c r="C2" s="19" t="s">
        <v>0</v>
      </c>
      <c r="D2" s="31"/>
      <c r="E2" s="3"/>
      <c r="F2" s="19" t="s">
        <v>1</v>
      </c>
      <c r="G2" s="31"/>
      <c r="I2" s="19" t="s">
        <v>2</v>
      </c>
      <c r="J2" s="20" t="s">
        <v>3</v>
      </c>
      <c r="K2" s="21" t="s">
        <v>4</v>
      </c>
    </row>
    <row r="3" spans="3:11">
      <c r="C3" s="22" t="s">
        <v>6</v>
      </c>
      <c r="D3" s="23">
        <v>3624.12</v>
      </c>
      <c r="E3" s="3"/>
      <c r="F3" s="7" t="s">
        <v>1</v>
      </c>
      <c r="G3" s="4">
        <v>586</v>
      </c>
      <c r="I3" s="11" t="s">
        <v>7</v>
      </c>
      <c r="J3" s="12">
        <v>-852.98</v>
      </c>
      <c r="K3" s="11" t="s">
        <v>87</v>
      </c>
    </row>
    <row r="4" spans="3:11">
      <c r="C4" s="197" t="s">
        <v>9</v>
      </c>
      <c r="D4" s="192">
        <f>SUMIF(K3:K29,"Yes*",J3:J29)</f>
        <v>-3584.51</v>
      </c>
      <c r="E4" s="3"/>
      <c r="F4" s="6" t="s">
        <v>440</v>
      </c>
      <c r="G4" s="5"/>
      <c r="I4" s="11" t="s">
        <v>10</v>
      </c>
      <c r="J4" s="12">
        <v>-233</v>
      </c>
      <c r="K4" s="11" t="s">
        <v>87</v>
      </c>
    </row>
    <row r="5" spans="3:11">
      <c r="C5" s="22" t="s">
        <v>12</v>
      </c>
      <c r="D5" s="23">
        <v>32.5</v>
      </c>
      <c r="E5" s="3"/>
      <c r="F5" s="24" t="s">
        <v>441</v>
      </c>
      <c r="G5" s="25"/>
      <c r="H5" s="9"/>
      <c r="I5" s="11" t="s">
        <v>14</v>
      </c>
      <c r="J5" s="12">
        <v>-24.75</v>
      </c>
      <c r="K5" s="11" t="s">
        <v>87</v>
      </c>
    </row>
    <row r="6" spans="3:11" ht="15" thickBot="1">
      <c r="C6" s="96" t="s">
        <v>15</v>
      </c>
      <c r="D6" s="198">
        <f>SUMIF(K3:K40,"No",J3:J40)</f>
        <v>-29.4</v>
      </c>
      <c r="E6" s="3"/>
      <c r="F6" s="24"/>
      <c r="G6" s="25"/>
      <c r="I6" s="11" t="s">
        <v>17</v>
      </c>
      <c r="J6" s="12">
        <v>-16.3</v>
      </c>
      <c r="K6" s="11" t="s">
        <v>87</v>
      </c>
    </row>
    <row r="7" spans="3:11" ht="15" thickBot="1">
      <c r="C7" s="28" t="s">
        <v>18</v>
      </c>
      <c r="D7" s="29">
        <f>D6+D5</f>
        <v>3.1000000000000014</v>
      </c>
      <c r="E7" s="3" t="s">
        <v>19</v>
      </c>
      <c r="F7" s="26" t="s">
        <v>28</v>
      </c>
      <c r="G7" s="27">
        <f>SUM(G3:G6)</f>
        <v>586</v>
      </c>
      <c r="I7" s="11" t="s">
        <v>21</v>
      </c>
      <c r="J7" s="12">
        <v>-13.2</v>
      </c>
      <c r="K7" s="11" t="s">
        <v>87</v>
      </c>
    </row>
    <row r="8" spans="3:11">
      <c r="C8" s="8"/>
      <c r="D8" s="31"/>
      <c r="E8" s="30"/>
      <c r="I8" s="11" t="s">
        <v>24</v>
      </c>
      <c r="J8" s="12">
        <v>-98</v>
      </c>
      <c r="K8" s="11" t="s">
        <v>87</v>
      </c>
    </row>
    <row r="9" spans="3:11">
      <c r="C9" s="30"/>
      <c r="D9" s="31"/>
      <c r="E9" s="30"/>
      <c r="I9" s="11" t="s">
        <v>25</v>
      </c>
      <c r="J9" s="12">
        <v>-22</v>
      </c>
      <c r="K9" s="11" t="s">
        <v>8</v>
      </c>
    </row>
    <row r="10" spans="3:11" ht="14">
      <c r="C10"/>
      <c r="D10"/>
      <c r="E10"/>
      <c r="F10"/>
      <c r="G10" s="9"/>
      <c r="I10" s="11" t="s">
        <v>27</v>
      </c>
      <c r="J10" s="12">
        <v>-15</v>
      </c>
      <c r="K10" s="11" t="s">
        <v>87</v>
      </c>
    </row>
    <row r="11" spans="3:11" ht="14">
      <c r="C11"/>
      <c r="D11"/>
      <c r="E11"/>
      <c r="F11"/>
      <c r="I11" s="11" t="s">
        <v>29</v>
      </c>
      <c r="J11" s="12">
        <v>-300</v>
      </c>
      <c r="K11" s="11" t="s">
        <v>87</v>
      </c>
    </row>
    <row r="12" spans="3:11" ht="14">
      <c r="C12"/>
      <c r="D12"/>
      <c r="E12"/>
      <c r="F12"/>
      <c r="I12" s="11" t="s">
        <v>30</v>
      </c>
      <c r="J12" s="12">
        <v>-11.99</v>
      </c>
      <c r="K12" s="11" t="s">
        <v>87</v>
      </c>
    </row>
    <row r="13" spans="3:11" ht="14">
      <c r="C13"/>
      <c r="D13"/>
      <c r="E13"/>
      <c r="F13"/>
      <c r="I13" s="11" t="s">
        <v>32</v>
      </c>
      <c r="J13" s="12">
        <v>-25</v>
      </c>
      <c r="K13" s="11" t="s">
        <v>87</v>
      </c>
    </row>
    <row r="14" spans="3:11" ht="14">
      <c r="C14"/>
      <c r="D14"/>
      <c r="E14"/>
      <c r="F14"/>
      <c r="I14" s="11" t="s">
        <v>33</v>
      </c>
      <c r="J14" s="12">
        <v>-188</v>
      </c>
      <c r="K14" s="11" t="s">
        <v>87</v>
      </c>
    </row>
    <row r="15" spans="3:11" ht="14">
      <c r="C15"/>
      <c r="D15"/>
      <c r="E15"/>
      <c r="F15"/>
      <c r="I15" s="11" t="s">
        <v>34</v>
      </c>
      <c r="J15" s="12">
        <v>-16</v>
      </c>
      <c r="K15" s="11" t="s">
        <v>87</v>
      </c>
    </row>
    <row r="16" spans="3:11" ht="14">
      <c r="C16"/>
      <c r="D16"/>
      <c r="E16"/>
      <c r="F16"/>
      <c r="I16" s="11" t="s">
        <v>36</v>
      </c>
      <c r="J16" s="12">
        <v>-6.25</v>
      </c>
      <c r="K16" s="11" t="s">
        <v>87</v>
      </c>
    </row>
    <row r="17" spans="1:12" ht="14">
      <c r="C17"/>
      <c r="D17"/>
      <c r="E17"/>
      <c r="F17"/>
      <c r="I17" s="11" t="s">
        <v>34</v>
      </c>
      <c r="J17" s="12">
        <v>-30.3</v>
      </c>
      <c r="K17" s="11" t="s">
        <v>87</v>
      </c>
    </row>
    <row r="18" spans="1:12" ht="14">
      <c r="C18"/>
      <c r="D18"/>
      <c r="E18"/>
      <c r="F18"/>
      <c r="I18" s="11" t="s">
        <v>387</v>
      </c>
      <c r="J18" s="12">
        <v>-5.99</v>
      </c>
      <c r="K18" s="11" t="s">
        <v>87</v>
      </c>
    </row>
    <row r="19" spans="1:12" ht="14">
      <c r="C19"/>
      <c r="D19"/>
      <c r="E19"/>
      <c r="F19"/>
      <c r="I19" s="11" t="s">
        <v>42</v>
      </c>
      <c r="J19" s="12">
        <v>-308</v>
      </c>
      <c r="K19" s="11" t="s">
        <v>87</v>
      </c>
    </row>
    <row r="20" spans="1:12" ht="14">
      <c r="C20"/>
      <c r="D20"/>
      <c r="E20"/>
      <c r="F20"/>
      <c r="I20" s="11" t="s">
        <v>121</v>
      </c>
      <c r="J20" s="12">
        <v>-202</v>
      </c>
      <c r="K20" s="11" t="s">
        <v>87</v>
      </c>
    </row>
    <row r="21" spans="1:12" ht="14">
      <c r="C21"/>
      <c r="D21"/>
      <c r="E21"/>
      <c r="F21"/>
      <c r="I21" s="11" t="s">
        <v>47</v>
      </c>
      <c r="J21" s="12">
        <v>-10</v>
      </c>
      <c r="K21" s="11" t="s">
        <v>87</v>
      </c>
    </row>
    <row r="22" spans="1:12" ht="14">
      <c r="C22"/>
      <c r="D22"/>
      <c r="E22"/>
      <c r="F22"/>
      <c r="I22" s="11" t="s">
        <v>86</v>
      </c>
      <c r="J22" s="12"/>
      <c r="K22" s="11" t="s">
        <v>8</v>
      </c>
    </row>
    <row r="23" spans="1:12" ht="14">
      <c r="C23"/>
      <c r="D23"/>
      <c r="E23"/>
      <c r="F23"/>
      <c r="I23" s="11" t="s">
        <v>158</v>
      </c>
      <c r="J23" s="12">
        <v>-750</v>
      </c>
      <c r="K23" s="11" t="s">
        <v>87</v>
      </c>
    </row>
    <row r="24" spans="1:12" ht="14">
      <c r="C24"/>
      <c r="D24"/>
      <c r="E24"/>
      <c r="F24"/>
      <c r="I24" s="11" t="s">
        <v>422</v>
      </c>
      <c r="J24" s="12">
        <v>-10</v>
      </c>
      <c r="K24" s="11" t="s">
        <v>87</v>
      </c>
    </row>
    <row r="25" spans="1:12">
      <c r="C25" s="31"/>
      <c r="E25" s="32"/>
      <c r="I25" s="11" t="s">
        <v>52</v>
      </c>
      <c r="J25" s="12">
        <v>-7.4</v>
      </c>
      <c r="K25" s="11" t="s">
        <v>8</v>
      </c>
    </row>
    <row r="26" spans="1:12">
      <c r="C26" s="31"/>
      <c r="E26" s="32"/>
      <c r="I26" s="11" t="s">
        <v>407</v>
      </c>
      <c r="J26" s="12"/>
      <c r="K26" s="11" t="s">
        <v>8</v>
      </c>
    </row>
    <row r="27" spans="1:12">
      <c r="C27" s="31"/>
      <c r="E27" s="32"/>
      <c r="I27" s="11" t="s">
        <v>55</v>
      </c>
      <c r="J27" s="12">
        <v>-35</v>
      </c>
      <c r="K27" s="11" t="s">
        <v>87</v>
      </c>
    </row>
    <row r="28" spans="1:12">
      <c r="C28" s="31"/>
      <c r="E28" s="32"/>
      <c r="I28" s="11" t="s">
        <v>176</v>
      </c>
      <c r="J28" s="12">
        <v>-12.75</v>
      </c>
      <c r="K28" s="11" t="s">
        <v>87</v>
      </c>
    </row>
    <row r="29" spans="1:12">
      <c r="C29" s="31"/>
      <c r="E29" s="32"/>
      <c r="I29" s="11" t="s">
        <v>439</v>
      </c>
      <c r="J29" s="12">
        <v>-420</v>
      </c>
      <c r="K29" s="11" t="s">
        <v>87</v>
      </c>
      <c r="L29" s="15"/>
    </row>
    <row r="30" spans="1:12">
      <c r="C30" s="31"/>
      <c r="E30" s="32"/>
      <c r="I30" s="11" t="s">
        <v>442</v>
      </c>
      <c r="J30" s="12">
        <v>-179.99</v>
      </c>
      <c r="K30" s="11" t="s">
        <v>87</v>
      </c>
    </row>
    <row r="31" spans="1:12">
      <c r="A31" s="14"/>
      <c r="B31" s="14"/>
      <c r="C31" s="31"/>
      <c r="E31" s="32"/>
      <c r="I31" s="11"/>
      <c r="J31" s="12"/>
      <c r="K31" s="11" t="s">
        <v>8</v>
      </c>
    </row>
    <row r="32" spans="1:12">
      <c r="C32" s="31"/>
      <c r="E32" s="32"/>
      <c r="H32" s="30"/>
      <c r="I32" s="11"/>
      <c r="J32" s="12"/>
      <c r="K32" s="11" t="s">
        <v>8</v>
      </c>
    </row>
    <row r="33" spans="8:11">
      <c r="H33" s="30"/>
      <c r="I33" s="11"/>
      <c r="J33" s="12"/>
      <c r="K33" s="11" t="s">
        <v>8</v>
      </c>
    </row>
    <row r="34" spans="8:11">
      <c r="H34" s="30"/>
      <c r="I34" s="11"/>
      <c r="J34" s="12"/>
      <c r="K34" s="11" t="s">
        <v>8</v>
      </c>
    </row>
    <row r="35" spans="8:11">
      <c r="H35" s="30"/>
      <c r="I35" s="11"/>
      <c r="J35" s="12"/>
      <c r="K35" s="11" t="s">
        <v>8</v>
      </c>
    </row>
    <row r="36" spans="8:11">
      <c r="H36" s="30"/>
      <c r="I36" s="11"/>
      <c r="J36" s="12"/>
      <c r="K36" s="11" t="s">
        <v>8</v>
      </c>
    </row>
    <row r="37" spans="8:11">
      <c r="H37" s="30"/>
      <c r="I37" s="11"/>
      <c r="J37" s="12"/>
      <c r="K37" s="11" t="s">
        <v>8</v>
      </c>
    </row>
    <row r="38" spans="8:11">
      <c r="H38" s="30"/>
      <c r="I38" s="11"/>
      <c r="J38" s="12"/>
      <c r="K38" s="11" t="s">
        <v>8</v>
      </c>
    </row>
    <row r="39" spans="8:11">
      <c r="H39" s="30"/>
      <c r="I39" s="11"/>
      <c r="J39" s="12"/>
      <c r="K39" s="11" t="s">
        <v>8</v>
      </c>
    </row>
    <row r="40" spans="8:11">
      <c r="H40" s="30"/>
      <c r="I40" s="11"/>
      <c r="J40" s="12"/>
      <c r="K40" s="11" t="s">
        <v>8</v>
      </c>
    </row>
    <row r="41" spans="8:11">
      <c r="H41" s="30"/>
    </row>
    <row r="42" spans="8:11">
      <c r="H42" s="30"/>
    </row>
    <row r="43" spans="8:11">
      <c r="H43" s="30"/>
    </row>
    <row r="44" spans="8:11">
      <c r="H44" s="30"/>
    </row>
    <row r="45" spans="8:11">
      <c r="H45" s="30"/>
    </row>
    <row r="46" spans="8:11">
      <c r="H46" s="30"/>
    </row>
    <row r="47" spans="8:11">
      <c r="H47" s="30"/>
    </row>
    <row r="48" spans="8:11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</sheetData>
  <autoFilter ref="I2:K40" xr:uid="{00000000-0009-0000-0000-000035000000}"/>
  <phoneticPr fontId="1" type="noConversion"/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33"/>
  <dimension ref="A1:XFC62"/>
  <sheetViews>
    <sheetView zoomScale="120" zoomScaleNormal="120" workbookViewId="0">
      <selection activeCell="D6" sqref="D6"/>
    </sheetView>
  </sheetViews>
  <sheetFormatPr defaultColWidth="8.58203125" defaultRowHeight="14.5"/>
  <cols>
    <col min="1" max="1" width="1.08203125" style="3" customWidth="1"/>
    <col min="2" max="2" width="13.58203125" style="31" customWidth="1"/>
    <col min="3" max="3" width="17.5" style="3" customWidth="1"/>
    <col min="4" max="4" width="18" style="32" bestFit="1" customWidth="1"/>
    <col min="5" max="5" width="9.08203125" style="3" bestFit="1" customWidth="1"/>
    <col min="6" max="6" width="14.5" style="3" bestFit="1" customWidth="1"/>
    <col min="7" max="7" width="14.08203125" style="3" customWidth="1"/>
    <col min="8" max="8" width="8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58203125" style="3" hidden="1" customWidth="1"/>
    <col min="13" max="251" width="0" style="3" hidden="1" customWidth="1"/>
    <col min="252" max="252" width="8.58203125" style="3" hidden="1" customWidth="1"/>
    <col min="253" max="16383" width="0" style="3" hidden="1" customWidth="1"/>
    <col min="16384" max="16384" width="4.5" style="3" hidden="1" customWidth="1"/>
  </cols>
  <sheetData>
    <row r="1" spans="2:11" ht="9" customHeight="1" thickBot="1">
      <c r="B1" s="30"/>
      <c r="C1" s="31"/>
      <c r="D1" s="30"/>
      <c r="E1" s="32"/>
      <c r="G1" s="31"/>
    </row>
    <row r="2" spans="2:11">
      <c r="B2" s="33" t="s">
        <v>6</v>
      </c>
      <c r="C2" s="34">
        <v>3723.72</v>
      </c>
      <c r="D2" s="35">
        <v>3275.27</v>
      </c>
      <c r="E2" s="4"/>
      <c r="F2" s="36"/>
      <c r="G2" s="37"/>
      <c r="I2" s="38" t="s">
        <v>2</v>
      </c>
      <c r="J2" s="13" t="s">
        <v>3</v>
      </c>
      <c r="K2" s="39" t="s">
        <v>4</v>
      </c>
    </row>
    <row r="3" spans="2:11">
      <c r="B3" s="40" t="s">
        <v>9</v>
      </c>
      <c r="C3" s="41">
        <f>SUMIF(K3:K35,"Yes*",J3:J35)</f>
        <v>-3808.9100000000003</v>
      </c>
      <c r="D3" s="42"/>
      <c r="E3" s="5"/>
      <c r="F3" s="43"/>
      <c r="G3" s="44"/>
      <c r="I3" s="11" t="s">
        <v>7</v>
      </c>
      <c r="J3" s="12">
        <v>-852.98</v>
      </c>
      <c r="K3" s="11" t="s">
        <v>87</v>
      </c>
    </row>
    <row r="4" spans="2:11" ht="15" thickBot="1">
      <c r="B4" s="33" t="s">
        <v>12</v>
      </c>
      <c r="C4" s="34">
        <v>55.13</v>
      </c>
      <c r="D4" s="6">
        <v>3277.16</v>
      </c>
      <c r="E4" s="5"/>
      <c r="F4" s="45"/>
      <c r="G4" s="46"/>
      <c r="I4" s="11" t="s">
        <v>10</v>
      </c>
      <c r="J4" s="12">
        <v>-233</v>
      </c>
      <c r="K4" s="11" t="s">
        <v>87</v>
      </c>
    </row>
    <row r="5" spans="2:11" ht="15" thickBot="1">
      <c r="B5" s="40" t="s">
        <v>15</v>
      </c>
      <c r="C5" s="83">
        <f>SUMIF(K3:K36,"No",J3:J36)</f>
        <v>0</v>
      </c>
      <c r="D5" s="47"/>
      <c r="E5" s="48"/>
      <c r="F5" s="7" t="s">
        <v>1</v>
      </c>
      <c r="G5" s="4">
        <v>475</v>
      </c>
      <c r="I5" s="11" t="s">
        <v>14</v>
      </c>
      <c r="J5" s="12">
        <v>-24.75</v>
      </c>
      <c r="K5" s="11" t="s">
        <v>87</v>
      </c>
    </row>
    <row r="6" spans="2:11">
      <c r="B6" s="33" t="s">
        <v>18</v>
      </c>
      <c r="C6" s="49">
        <f>C5+C4</f>
        <v>55.13</v>
      </c>
      <c r="D6" s="32" t="s">
        <v>19</v>
      </c>
      <c r="E6" s="30"/>
      <c r="F6" s="6" t="s">
        <v>80</v>
      </c>
      <c r="G6" s="5"/>
      <c r="I6" s="11" t="s">
        <v>17</v>
      </c>
      <c r="J6" s="12">
        <v>-16.3</v>
      </c>
      <c r="K6" s="11" t="s">
        <v>87</v>
      </c>
    </row>
    <row r="7" spans="2:11">
      <c r="C7" s="50" t="s">
        <v>443</v>
      </c>
      <c r="F7" s="6" t="s">
        <v>441</v>
      </c>
      <c r="G7" s="5">
        <v>90</v>
      </c>
      <c r="I7" s="11" t="s">
        <v>21</v>
      </c>
      <c r="J7" s="12">
        <v>-13.2</v>
      </c>
      <c r="K7" s="11" t="s">
        <v>87</v>
      </c>
    </row>
    <row r="8" spans="2:11" ht="15" thickBot="1">
      <c r="B8" s="8"/>
      <c r="C8" s="31"/>
      <c r="D8" s="30"/>
      <c r="E8" s="32"/>
      <c r="F8" s="51" t="s">
        <v>362</v>
      </c>
      <c r="G8" s="48">
        <f>SUM(G5:G7)</f>
        <v>565</v>
      </c>
      <c r="I8" s="11" t="s">
        <v>24</v>
      </c>
      <c r="J8" s="12">
        <v>-98</v>
      </c>
      <c r="K8" s="11" t="s">
        <v>87</v>
      </c>
    </row>
    <row r="9" spans="2:11">
      <c r="B9" s="30"/>
      <c r="C9" s="31"/>
      <c r="D9" s="30"/>
      <c r="E9" s="32"/>
      <c r="I9" s="11" t="s">
        <v>25</v>
      </c>
      <c r="J9" s="12">
        <v>-22</v>
      </c>
      <c r="K9" s="11" t="s">
        <v>87</v>
      </c>
    </row>
    <row r="10" spans="2:11" ht="14">
      <c r="B10" s="3"/>
      <c r="D10" s="3"/>
      <c r="I10" s="11" t="s">
        <v>13</v>
      </c>
      <c r="J10" s="12"/>
      <c r="K10" s="11" t="s">
        <v>8</v>
      </c>
    </row>
    <row r="11" spans="2:11" ht="14">
      <c r="B11" s="3"/>
      <c r="D11" s="3"/>
      <c r="G11" s="9"/>
      <c r="I11" s="11" t="s">
        <v>27</v>
      </c>
      <c r="J11" s="12">
        <v>-15</v>
      </c>
      <c r="K11" s="11" t="s">
        <v>87</v>
      </c>
    </row>
    <row r="12" spans="2:11" ht="14">
      <c r="B12" s="3"/>
      <c r="D12" s="3"/>
      <c r="I12" s="11" t="s">
        <v>444</v>
      </c>
      <c r="J12" s="12">
        <v>-300</v>
      </c>
      <c r="K12" s="11" t="s">
        <v>87</v>
      </c>
    </row>
    <row r="13" spans="2:11" ht="16.5">
      <c r="B13" s="3"/>
      <c r="D13" s="3"/>
      <c r="G13" s="16"/>
      <c r="I13" s="11" t="s">
        <v>128</v>
      </c>
      <c r="J13" s="12"/>
      <c r="K13" s="11" t="s">
        <v>8</v>
      </c>
    </row>
    <row r="14" spans="2:11" ht="16.5">
      <c r="B14" s="3"/>
      <c r="D14" s="3"/>
      <c r="G14" s="16"/>
      <c r="I14" s="11" t="s">
        <v>13</v>
      </c>
      <c r="J14" s="12"/>
      <c r="K14" s="11" t="s">
        <v>8</v>
      </c>
    </row>
    <row r="15" spans="2:11" ht="14">
      <c r="B15" s="3"/>
      <c r="D15" s="3"/>
      <c r="I15" s="11" t="s">
        <v>13</v>
      </c>
      <c r="J15" s="12"/>
      <c r="K15" s="11" t="s">
        <v>8</v>
      </c>
    </row>
    <row r="16" spans="2:11" ht="14">
      <c r="B16" s="3"/>
      <c r="D16" s="3"/>
      <c r="I16" s="11" t="s">
        <v>30</v>
      </c>
      <c r="J16" s="12">
        <v>-11.99</v>
      </c>
      <c r="K16" s="11" t="s">
        <v>87</v>
      </c>
    </row>
    <row r="17" spans="2:11" ht="14">
      <c r="B17" s="3"/>
      <c r="D17" s="3"/>
      <c r="I17" s="11" t="s">
        <v>32</v>
      </c>
      <c r="J17" s="12">
        <v>-25</v>
      </c>
      <c r="K17" s="11" t="s">
        <v>87</v>
      </c>
    </row>
    <row r="18" spans="2:11" ht="14">
      <c r="B18" s="3"/>
      <c r="D18" s="3"/>
      <c r="I18" s="11" t="s">
        <v>33</v>
      </c>
      <c r="J18" s="12">
        <v>-188</v>
      </c>
      <c r="K18" s="11" t="s">
        <v>87</v>
      </c>
    </row>
    <row r="19" spans="2:11" ht="14">
      <c r="B19" s="3"/>
      <c r="D19" s="3"/>
      <c r="I19" s="11" t="s">
        <v>34</v>
      </c>
      <c r="J19" s="12">
        <v>-16</v>
      </c>
      <c r="K19" s="11" t="s">
        <v>87</v>
      </c>
    </row>
    <row r="20" spans="2:11" ht="14">
      <c r="B20" s="3"/>
      <c r="D20" s="3"/>
      <c r="I20" s="11" t="s">
        <v>36</v>
      </c>
      <c r="J20" s="12">
        <v>-6.25</v>
      </c>
      <c r="K20" s="11" t="s">
        <v>87</v>
      </c>
    </row>
    <row r="21" spans="2:11" ht="14">
      <c r="B21" s="3"/>
      <c r="D21" s="3"/>
      <c r="I21" s="11" t="s">
        <v>34</v>
      </c>
      <c r="J21" s="12">
        <v>-30.3</v>
      </c>
      <c r="K21" s="11" t="s">
        <v>87</v>
      </c>
    </row>
    <row r="22" spans="2:11" ht="14">
      <c r="B22" s="3"/>
      <c r="D22" s="3"/>
      <c r="I22" s="11" t="s">
        <v>387</v>
      </c>
      <c r="J22" s="12">
        <v>-5.99</v>
      </c>
      <c r="K22" s="11" t="s">
        <v>87</v>
      </c>
    </row>
    <row r="23" spans="2:11" ht="14">
      <c r="B23" s="3"/>
      <c r="D23" s="3"/>
      <c r="I23" s="11" t="s">
        <v>42</v>
      </c>
      <c r="J23" s="12">
        <v>-550</v>
      </c>
      <c r="K23" s="11" t="s">
        <v>87</v>
      </c>
    </row>
    <row r="24" spans="2:11" ht="14">
      <c r="B24" s="3"/>
      <c r="D24" s="3"/>
      <c r="I24" s="11" t="s">
        <v>121</v>
      </c>
      <c r="J24" s="78">
        <v>-25</v>
      </c>
      <c r="K24" s="11" t="s">
        <v>87</v>
      </c>
    </row>
    <row r="25" spans="2:11" ht="14">
      <c r="B25" s="3"/>
      <c r="D25" s="3"/>
      <c r="I25" s="11" t="s">
        <v>47</v>
      </c>
      <c r="J25" s="12">
        <v>-10</v>
      </c>
      <c r="K25" s="11" t="s">
        <v>87</v>
      </c>
    </row>
    <row r="26" spans="2:11" ht="14">
      <c r="B26" s="3"/>
      <c r="D26" s="3"/>
      <c r="I26" s="11" t="s">
        <v>86</v>
      </c>
      <c r="J26" s="12"/>
      <c r="K26" s="11" t="s">
        <v>8</v>
      </c>
    </row>
    <row r="27" spans="2:11" ht="14">
      <c r="B27" s="3"/>
      <c r="D27" s="3"/>
      <c r="I27" s="11" t="s">
        <v>158</v>
      </c>
      <c r="J27" s="12">
        <v>-750</v>
      </c>
      <c r="K27" s="11" t="s">
        <v>87</v>
      </c>
    </row>
    <row r="28" spans="2:11">
      <c r="I28" s="11" t="s">
        <v>422</v>
      </c>
      <c r="J28" s="12"/>
      <c r="K28" s="11" t="s">
        <v>8</v>
      </c>
    </row>
    <row r="29" spans="2:11">
      <c r="I29" s="11" t="s">
        <v>52</v>
      </c>
      <c r="J29" s="12">
        <v>-7.4</v>
      </c>
      <c r="K29" s="11" t="s">
        <v>87</v>
      </c>
    </row>
    <row r="30" spans="2:11">
      <c r="I30" s="11" t="s">
        <v>407</v>
      </c>
      <c r="J30" s="12"/>
      <c r="K30" s="11" t="s">
        <v>8</v>
      </c>
    </row>
    <row r="31" spans="2:11">
      <c r="I31" s="11" t="s">
        <v>55</v>
      </c>
      <c r="J31" s="12">
        <v>-35</v>
      </c>
      <c r="K31" s="11" t="s">
        <v>87</v>
      </c>
    </row>
    <row r="32" spans="2:11">
      <c r="I32" s="11" t="s">
        <v>176</v>
      </c>
      <c r="J32" s="12">
        <v>-12.75</v>
      </c>
      <c r="K32" s="11" t="s">
        <v>87</v>
      </c>
    </row>
    <row r="33" spans="1:12">
      <c r="I33" s="11" t="s">
        <v>155</v>
      </c>
      <c r="J33" s="12">
        <v>-90</v>
      </c>
      <c r="K33" s="11" t="s">
        <v>87</v>
      </c>
    </row>
    <row r="34" spans="1:12">
      <c r="I34" s="11" t="s">
        <v>120</v>
      </c>
      <c r="J34" s="12"/>
      <c r="K34" s="11" t="s">
        <v>8</v>
      </c>
      <c r="L34" s="15"/>
    </row>
    <row r="35" spans="1:12">
      <c r="I35" s="11" t="s">
        <v>439</v>
      </c>
      <c r="J35" s="12">
        <v>-470</v>
      </c>
      <c r="K35" s="11" t="s">
        <v>87</v>
      </c>
      <c r="L35" s="15"/>
    </row>
    <row r="36" spans="1:12">
      <c r="I36" s="82" t="s">
        <v>445</v>
      </c>
      <c r="J36" s="78"/>
      <c r="K36" s="11" t="s">
        <v>8</v>
      </c>
    </row>
    <row r="37" spans="1:12">
      <c r="A37" s="14"/>
      <c r="I37" s="11"/>
      <c r="K37" s="11" t="s">
        <v>8</v>
      </c>
    </row>
    <row r="38" spans="1:12">
      <c r="H38" s="30"/>
      <c r="K38" s="82" t="s">
        <v>8</v>
      </c>
    </row>
    <row r="39" spans="1:12">
      <c r="H39" s="30"/>
      <c r="K39" s="82" t="s">
        <v>8</v>
      </c>
    </row>
    <row r="40" spans="1:12">
      <c r="H40" s="30"/>
      <c r="K40" s="82" t="s">
        <v>8</v>
      </c>
    </row>
    <row r="41" spans="1:12">
      <c r="H41" s="30"/>
      <c r="K41" s="82" t="s">
        <v>8</v>
      </c>
    </row>
    <row r="42" spans="1:12">
      <c r="H42" s="30"/>
      <c r="K42" s="82" t="s">
        <v>8</v>
      </c>
    </row>
    <row r="43" spans="1:12">
      <c r="H43" s="30"/>
      <c r="K43" s="82" t="s">
        <v>8</v>
      </c>
    </row>
    <row r="44" spans="1:12">
      <c r="H44" s="30"/>
      <c r="K44" s="82" t="s">
        <v>8</v>
      </c>
    </row>
    <row r="45" spans="1:12">
      <c r="H45" s="30"/>
      <c r="K45" s="82" t="s">
        <v>8</v>
      </c>
    </row>
    <row r="46" spans="1:12">
      <c r="H46" s="30"/>
      <c r="K46" s="82" t="s">
        <v>8</v>
      </c>
    </row>
    <row r="47" spans="1:12">
      <c r="H47" s="30"/>
    </row>
    <row r="48" spans="1:12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  <row r="57" spans="8:8">
      <c r="H57" s="30"/>
    </row>
    <row r="58" spans="8:8">
      <c r="H58" s="30"/>
    </row>
    <row r="59" spans="8:8">
      <c r="H59" s="30"/>
    </row>
    <row r="60" spans="8:8">
      <c r="H60" s="30"/>
    </row>
    <row r="61" spans="8:8">
      <c r="H61" s="30"/>
    </row>
    <row r="62" spans="8:8">
      <c r="H62" s="30"/>
    </row>
  </sheetData>
  <autoFilter ref="I2:K46" xr:uid="{00000000-0009-0000-0000-000036000000}"/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34"/>
  <dimension ref="A1:XFC62"/>
  <sheetViews>
    <sheetView zoomScale="120" zoomScaleNormal="120" workbookViewId="0">
      <selection activeCell="D6" sqref="D6"/>
    </sheetView>
  </sheetViews>
  <sheetFormatPr defaultColWidth="8.58203125" defaultRowHeight="14.5"/>
  <cols>
    <col min="1" max="1" width="1.08203125" style="3" customWidth="1"/>
    <col min="2" max="2" width="13.58203125" style="31" customWidth="1"/>
    <col min="3" max="3" width="17.5" style="3" customWidth="1"/>
    <col min="4" max="4" width="18" style="32" bestFit="1" customWidth="1"/>
    <col min="5" max="5" width="9.08203125" style="3" bestFit="1" customWidth="1"/>
    <col min="6" max="6" width="14.5" style="3" bestFit="1" customWidth="1"/>
    <col min="7" max="7" width="14.08203125" style="3" customWidth="1"/>
    <col min="8" max="8" width="8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4" style="3" customWidth="1"/>
    <col min="13" max="13" width="8.08203125" style="30" bestFit="1" customWidth="1"/>
    <col min="14" max="14" width="17.5" style="3" bestFit="1" customWidth="1"/>
    <col min="15" max="15" width="15.58203125" style="3" customWidth="1"/>
    <col min="16" max="16" width="2.58203125" style="3" hidden="1" customWidth="1"/>
    <col min="17" max="255" width="0" style="3" hidden="1" customWidth="1"/>
    <col min="256" max="256" width="8.58203125" style="3" hidden="1" customWidth="1"/>
    <col min="257" max="16383" width="0" style="3" hidden="1" customWidth="1"/>
    <col min="16384" max="16384" width="4.5" style="3" hidden="1" customWidth="1"/>
  </cols>
  <sheetData>
    <row r="1" spans="2:15" ht="9" customHeight="1" thickBot="1">
      <c r="B1" s="30"/>
      <c r="C1" s="31"/>
      <c r="D1" s="30"/>
      <c r="E1" s="32"/>
      <c r="G1" s="31"/>
    </row>
    <row r="2" spans="2:15">
      <c r="B2" s="33" t="s">
        <v>6</v>
      </c>
      <c r="C2" s="34">
        <v>3714.96</v>
      </c>
      <c r="D2" s="35">
        <v>3275.27</v>
      </c>
      <c r="E2" s="4"/>
      <c r="F2" s="36"/>
      <c r="G2" s="37"/>
      <c r="I2" s="38" t="s">
        <v>2</v>
      </c>
      <c r="J2" s="13" t="s">
        <v>3</v>
      </c>
      <c r="K2" s="39" t="s">
        <v>4</v>
      </c>
      <c r="M2" s="31" t="s">
        <v>87</v>
      </c>
    </row>
    <row r="3" spans="2:15">
      <c r="B3" s="40" t="s">
        <v>9</v>
      </c>
      <c r="C3" s="41">
        <f>SUMIF(K3:K35,"Yes*",J3:J35)</f>
        <v>-3854.51</v>
      </c>
      <c r="D3" s="42"/>
      <c r="E3" s="5"/>
      <c r="F3" s="43"/>
      <c r="G3" s="44"/>
      <c r="I3" s="11" t="s">
        <v>7</v>
      </c>
      <c r="J3" s="12">
        <v>-852.98</v>
      </c>
      <c r="K3" s="11" t="s">
        <v>87</v>
      </c>
      <c r="M3" s="31" t="s">
        <v>8</v>
      </c>
    </row>
    <row r="4" spans="2:15" ht="15" thickBot="1">
      <c r="B4" s="33" t="s">
        <v>12</v>
      </c>
      <c r="C4" s="34">
        <v>44.92</v>
      </c>
      <c r="D4" s="6">
        <v>3277.16</v>
      </c>
      <c r="E4" s="5"/>
      <c r="F4" s="45"/>
      <c r="G4" s="46"/>
      <c r="I4" s="11" t="s">
        <v>10</v>
      </c>
      <c r="J4" s="12">
        <v>-233</v>
      </c>
      <c r="K4" s="11" t="s">
        <v>87</v>
      </c>
      <c r="L4" s="31"/>
    </row>
    <row r="5" spans="2:15" ht="15" thickBot="1">
      <c r="B5" s="40" t="s">
        <v>15</v>
      </c>
      <c r="C5" s="83">
        <f>SUMIF(K3:K36,"No",J3:J36)</f>
        <v>-29.4</v>
      </c>
      <c r="D5" s="47"/>
      <c r="E5" s="48"/>
      <c r="F5" s="7" t="s">
        <v>1</v>
      </c>
      <c r="G5" s="4">
        <v>20</v>
      </c>
      <c r="I5" s="11" t="s">
        <v>14</v>
      </c>
      <c r="J5" s="12">
        <v>-21</v>
      </c>
      <c r="K5" s="11" t="s">
        <v>87</v>
      </c>
    </row>
    <row r="6" spans="2:15">
      <c r="B6" s="33" t="s">
        <v>18</v>
      </c>
      <c r="C6" s="49">
        <f>C5+C4</f>
        <v>15.520000000000003</v>
      </c>
      <c r="D6" s="32" t="s">
        <v>19</v>
      </c>
      <c r="E6" s="30"/>
      <c r="F6" s="6" t="s">
        <v>80</v>
      </c>
      <c r="G6" s="5"/>
      <c r="I6" s="11" t="s">
        <v>17</v>
      </c>
      <c r="J6" s="12">
        <v>-16.3</v>
      </c>
      <c r="K6" s="11" t="s">
        <v>87</v>
      </c>
    </row>
    <row r="7" spans="2:15">
      <c r="C7" s="50" t="s">
        <v>443</v>
      </c>
      <c r="F7" s="6" t="s">
        <v>86</v>
      </c>
      <c r="G7" s="5"/>
      <c r="I7" s="11" t="s">
        <v>21</v>
      </c>
      <c r="J7" s="12">
        <v>-13.2</v>
      </c>
      <c r="K7" s="11" t="s">
        <v>87</v>
      </c>
      <c r="N7" s="30"/>
    </row>
    <row r="8" spans="2:15" ht="15" thickBot="1">
      <c r="B8" s="8" t="s">
        <v>446</v>
      </c>
      <c r="C8" s="31"/>
      <c r="D8" s="30"/>
      <c r="E8" s="32"/>
      <c r="F8" s="51" t="s">
        <v>362</v>
      </c>
      <c r="G8" s="48">
        <f>SUM(G5:G7)</f>
        <v>20</v>
      </c>
      <c r="I8" s="11" t="s">
        <v>24</v>
      </c>
      <c r="J8" s="12">
        <v>-98</v>
      </c>
      <c r="K8" s="11" t="s">
        <v>87</v>
      </c>
      <c r="L8" s="3">
        <v>98</v>
      </c>
      <c r="M8" s="52" t="s">
        <v>148</v>
      </c>
      <c r="N8" s="52" t="s">
        <v>447</v>
      </c>
      <c r="O8" s="53" t="s">
        <v>448</v>
      </c>
    </row>
    <row r="9" spans="2:15" ht="15" thickBot="1">
      <c r="B9" s="30"/>
      <c r="C9" s="31"/>
      <c r="D9" s="30"/>
      <c r="E9" s="32"/>
      <c r="I9" s="11" t="s">
        <v>25</v>
      </c>
      <c r="J9" s="12">
        <v>-22</v>
      </c>
      <c r="K9" s="11" t="s">
        <v>8</v>
      </c>
      <c r="M9" s="52"/>
      <c r="N9" s="52" t="s">
        <v>449</v>
      </c>
      <c r="O9" s="11">
        <v>214</v>
      </c>
    </row>
    <row r="10" spans="2:15">
      <c r="B10" s="54"/>
      <c r="C10" s="55"/>
      <c r="D10" s="56"/>
      <c r="E10" s="57"/>
      <c r="I10" s="11" t="s">
        <v>13</v>
      </c>
      <c r="J10" s="12"/>
      <c r="K10" s="11" t="s">
        <v>8</v>
      </c>
      <c r="L10" s="58"/>
      <c r="M10" s="52"/>
      <c r="N10" s="52" t="s">
        <v>450</v>
      </c>
      <c r="O10" s="11">
        <v>304</v>
      </c>
    </row>
    <row r="11" spans="2:15">
      <c r="B11" s="59"/>
      <c r="C11" s="60"/>
      <c r="D11" s="52"/>
      <c r="E11" s="61"/>
      <c r="G11" s="9"/>
      <c r="I11" s="11" t="s">
        <v>27</v>
      </c>
      <c r="J11" s="12">
        <v>-15</v>
      </c>
      <c r="K11" s="11" t="s">
        <v>87</v>
      </c>
      <c r="M11" s="52" t="s">
        <v>451</v>
      </c>
      <c r="N11" s="52" t="s">
        <v>452</v>
      </c>
      <c r="O11" s="11">
        <v>82</v>
      </c>
    </row>
    <row r="12" spans="2:15">
      <c r="B12" s="59"/>
      <c r="C12" s="60"/>
      <c r="D12" s="52"/>
      <c r="E12" s="61"/>
      <c r="I12" s="11" t="s">
        <v>444</v>
      </c>
      <c r="J12" s="12">
        <v>-300</v>
      </c>
      <c r="K12" s="11" t="s">
        <v>87</v>
      </c>
      <c r="L12" s="58"/>
      <c r="M12" s="52">
        <v>300</v>
      </c>
      <c r="N12" s="52"/>
      <c r="O12" s="53"/>
    </row>
    <row r="13" spans="2:15" ht="17" thickBot="1">
      <c r="B13" s="62"/>
      <c r="C13" s="63"/>
      <c r="D13" s="64"/>
      <c r="E13" s="65"/>
      <c r="G13" s="16"/>
      <c r="I13" s="11" t="s">
        <v>128</v>
      </c>
      <c r="J13" s="12"/>
      <c r="K13" s="11" t="s">
        <v>8</v>
      </c>
      <c r="L13" s="58"/>
    </row>
    <row r="14" spans="2:15" ht="17" thickBot="1">
      <c r="B14" s="30"/>
      <c r="D14" s="66"/>
      <c r="E14" s="67"/>
      <c r="F14" s="14"/>
      <c r="G14" s="16"/>
      <c r="I14" s="11" t="s">
        <v>13</v>
      </c>
      <c r="J14" s="12"/>
      <c r="K14" s="11" t="s">
        <v>8</v>
      </c>
      <c r="L14" s="58"/>
    </row>
    <row r="15" spans="2:15">
      <c r="B15" s="30"/>
      <c r="C15" s="31"/>
      <c r="D15" s="68"/>
      <c r="E15" s="67"/>
      <c r="F15" s="14"/>
      <c r="I15" s="11" t="s">
        <v>13</v>
      </c>
      <c r="J15" s="12"/>
      <c r="K15" s="11" t="s">
        <v>8</v>
      </c>
      <c r="L15" s="58"/>
    </row>
    <row r="16" spans="2:15">
      <c r="B16" s="30"/>
      <c r="C16" s="31"/>
      <c r="D16" s="68"/>
      <c r="E16" s="68"/>
      <c r="I16" s="11" t="s">
        <v>30</v>
      </c>
      <c r="J16" s="12">
        <v>-11.99</v>
      </c>
      <c r="K16" s="11" t="s">
        <v>87</v>
      </c>
    </row>
    <row r="17" spans="2:15" ht="15" thickBot="1">
      <c r="B17" s="30"/>
      <c r="C17" s="31"/>
      <c r="D17" s="69"/>
      <c r="E17" s="70"/>
      <c r="I17" s="11" t="s">
        <v>32</v>
      </c>
      <c r="J17" s="12">
        <v>-25</v>
      </c>
      <c r="K17" s="11" t="s">
        <v>87</v>
      </c>
    </row>
    <row r="18" spans="2:15" ht="15" thickBot="1">
      <c r="B18" s="30"/>
      <c r="C18" s="31"/>
      <c r="D18" s="71"/>
      <c r="E18" s="72"/>
      <c r="I18" s="11" t="s">
        <v>33</v>
      </c>
      <c r="J18" s="12">
        <v>-188</v>
      </c>
      <c r="K18" s="11" t="s">
        <v>87</v>
      </c>
      <c r="M18" s="73" t="s">
        <v>453</v>
      </c>
      <c r="N18" s="3">
        <v>-39.56</v>
      </c>
      <c r="O18" s="74">
        <v>43435</v>
      </c>
    </row>
    <row r="19" spans="2:15" ht="15" thickBot="1">
      <c r="D19" s="75"/>
      <c r="E19" s="76"/>
      <c r="I19" s="11" t="s">
        <v>34</v>
      </c>
      <c r="J19" s="12">
        <v>-16</v>
      </c>
      <c r="K19" s="11" t="s">
        <v>87</v>
      </c>
    </row>
    <row r="20" spans="2:15">
      <c r="I20" s="11" t="s">
        <v>36</v>
      </c>
      <c r="J20" s="12">
        <v>-6.25</v>
      </c>
      <c r="K20" s="11" t="s">
        <v>87</v>
      </c>
    </row>
    <row r="21" spans="2:15">
      <c r="I21" s="11" t="s">
        <v>34</v>
      </c>
      <c r="J21" s="12">
        <v>-30.3</v>
      </c>
      <c r="K21" s="11" t="s">
        <v>87</v>
      </c>
      <c r="M21" s="30">
        <v>-25.8</v>
      </c>
      <c r="N21" s="3" t="s">
        <v>454</v>
      </c>
    </row>
    <row r="22" spans="2:15">
      <c r="C22"/>
      <c r="F22" s="32"/>
      <c r="I22" s="11" t="s">
        <v>387</v>
      </c>
      <c r="J22" s="12">
        <v>-5.99</v>
      </c>
      <c r="K22" s="11" t="s">
        <v>87</v>
      </c>
      <c r="M22" s="30" t="s">
        <v>455</v>
      </c>
    </row>
    <row r="23" spans="2:15">
      <c r="C23" s="77"/>
      <c r="F23"/>
      <c r="I23" s="11" t="s">
        <v>42</v>
      </c>
      <c r="J23" s="12">
        <v>-620</v>
      </c>
      <c r="K23" s="11" t="s">
        <v>87</v>
      </c>
    </row>
    <row r="24" spans="2:15">
      <c r="C24" s="77"/>
      <c r="I24" s="11" t="s">
        <v>47</v>
      </c>
      <c r="J24" s="78">
        <v>-320</v>
      </c>
      <c r="K24" s="11" t="s">
        <v>87</v>
      </c>
    </row>
    <row r="25" spans="2:15">
      <c r="C25"/>
      <c r="F25"/>
      <c r="I25" s="11" t="s">
        <v>47</v>
      </c>
      <c r="J25" s="12">
        <v>-10</v>
      </c>
      <c r="K25" s="11" t="s">
        <v>87</v>
      </c>
      <c r="L25" s="14"/>
      <c r="O25" s="3" t="s">
        <v>456</v>
      </c>
    </row>
    <row r="26" spans="2:15">
      <c r="C26" s="10"/>
      <c r="D26" s="79"/>
      <c r="I26" s="11" t="s">
        <v>86</v>
      </c>
      <c r="J26" s="12">
        <v>-200</v>
      </c>
      <c r="K26" s="11" t="s">
        <v>87</v>
      </c>
      <c r="L26" s="14"/>
      <c r="M26" s="80" t="s">
        <v>457</v>
      </c>
      <c r="N26" s="17">
        <v>3534</v>
      </c>
    </row>
    <row r="27" spans="2:15">
      <c r="I27" s="11" t="s">
        <v>158</v>
      </c>
      <c r="J27" s="12">
        <v>-825</v>
      </c>
      <c r="K27" s="11" t="s">
        <v>87</v>
      </c>
      <c r="L27" s="14"/>
      <c r="M27" s="73" t="s">
        <v>13</v>
      </c>
      <c r="N27" s="18">
        <v>483.5</v>
      </c>
    </row>
    <row r="28" spans="2:15">
      <c r="I28" s="11" t="s">
        <v>422</v>
      </c>
      <c r="J28" s="12"/>
      <c r="K28" s="11" t="s">
        <v>8</v>
      </c>
      <c r="L28" s="14"/>
      <c r="M28" s="73" t="s">
        <v>458</v>
      </c>
      <c r="N28" s="18">
        <v>125.9</v>
      </c>
    </row>
    <row r="29" spans="2:15">
      <c r="I29" s="11" t="s">
        <v>52</v>
      </c>
      <c r="J29" s="12">
        <v>-7.4</v>
      </c>
      <c r="K29" s="11" t="s">
        <v>8</v>
      </c>
      <c r="L29" s="14"/>
      <c r="M29" s="30">
        <v>-7</v>
      </c>
    </row>
    <row r="30" spans="2:15">
      <c r="I30" s="11" t="s">
        <v>407</v>
      </c>
      <c r="J30" s="12"/>
      <c r="K30" s="11" t="s">
        <v>8</v>
      </c>
      <c r="L30" s="81"/>
    </row>
    <row r="31" spans="2:15">
      <c r="I31" s="11" t="s">
        <v>55</v>
      </c>
      <c r="J31" s="12">
        <v>-33.75</v>
      </c>
      <c r="K31" s="11" t="s">
        <v>87</v>
      </c>
    </row>
    <row r="32" spans="2:15">
      <c r="I32" s="11" t="s">
        <v>176</v>
      </c>
      <c r="J32" s="12">
        <v>-12.75</v>
      </c>
      <c r="K32" s="11" t="s">
        <v>87</v>
      </c>
    </row>
    <row r="33" spans="1:16">
      <c r="I33" s="11" t="s">
        <v>86</v>
      </c>
      <c r="J33" s="12"/>
      <c r="K33" s="11" t="s">
        <v>8</v>
      </c>
    </row>
    <row r="34" spans="1:16">
      <c r="I34" s="11" t="s">
        <v>120</v>
      </c>
      <c r="J34" s="12"/>
      <c r="K34" s="11" t="s">
        <v>8</v>
      </c>
      <c r="P34" s="15"/>
    </row>
    <row r="35" spans="1:16">
      <c r="I35" s="11" t="s">
        <v>439</v>
      </c>
      <c r="J35" s="12"/>
      <c r="K35" s="11" t="s">
        <v>8</v>
      </c>
      <c r="P35" s="15"/>
    </row>
    <row r="36" spans="1:16">
      <c r="I36" s="82" t="s">
        <v>445</v>
      </c>
      <c r="J36" s="78"/>
      <c r="K36" s="11" t="s">
        <v>8</v>
      </c>
    </row>
    <row r="37" spans="1:16">
      <c r="A37" s="14"/>
      <c r="I37" s="11"/>
      <c r="K37" s="11" t="s">
        <v>8</v>
      </c>
    </row>
    <row r="38" spans="1:16">
      <c r="H38" s="30"/>
      <c r="K38" s="82" t="s">
        <v>8</v>
      </c>
    </row>
    <row r="39" spans="1:16">
      <c r="H39" s="30"/>
      <c r="K39" s="82" t="s">
        <v>8</v>
      </c>
    </row>
    <row r="40" spans="1:16">
      <c r="H40" s="30"/>
      <c r="K40" s="82" t="s">
        <v>8</v>
      </c>
    </row>
    <row r="41" spans="1:16">
      <c r="H41" s="30"/>
      <c r="K41" s="82" t="s">
        <v>8</v>
      </c>
    </row>
    <row r="42" spans="1:16">
      <c r="H42" s="30"/>
      <c r="K42" s="82" t="s">
        <v>8</v>
      </c>
    </row>
    <row r="43" spans="1:16">
      <c r="H43" s="30"/>
      <c r="K43" s="82" t="s">
        <v>8</v>
      </c>
    </row>
    <row r="44" spans="1:16">
      <c r="H44" s="30"/>
      <c r="K44" s="82" t="s">
        <v>8</v>
      </c>
    </row>
    <row r="45" spans="1:16">
      <c r="H45" s="30"/>
      <c r="K45" s="82" t="s">
        <v>8</v>
      </c>
    </row>
    <row r="46" spans="1:16">
      <c r="H46" s="30"/>
      <c r="K46" s="82" t="s">
        <v>8</v>
      </c>
    </row>
    <row r="47" spans="1:16">
      <c r="H47" s="30"/>
    </row>
    <row r="48" spans="1:16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  <row r="57" spans="8:8">
      <c r="H57" s="30"/>
    </row>
    <row r="58" spans="8:8">
      <c r="H58" s="30"/>
    </row>
    <row r="59" spans="8:8">
      <c r="H59" s="30"/>
    </row>
    <row r="60" spans="8:8">
      <c r="H60" s="30"/>
    </row>
    <row r="61" spans="8:8">
      <c r="H61" s="30"/>
    </row>
    <row r="62" spans="8:8">
      <c r="H62" s="30"/>
    </row>
  </sheetData>
  <autoFilter ref="I2:K46" xr:uid="{00000000-0009-0000-0000-000037000000}"/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35"/>
  <dimension ref="A1"/>
  <sheetViews>
    <sheetView workbookViewId="0">
      <selection activeCell="D6" sqref="D6"/>
    </sheetView>
  </sheetViews>
  <sheetFormatPr defaultRowHeight="14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36"/>
  <dimension ref="A1"/>
  <sheetViews>
    <sheetView workbookViewId="0">
      <selection activeCell="D6" sqref="D6"/>
    </sheetView>
  </sheetViews>
  <sheetFormatPr defaultRowHeight="14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37"/>
  <dimension ref="A1:XFC62"/>
  <sheetViews>
    <sheetView zoomScale="160" zoomScaleNormal="160" workbookViewId="0">
      <selection activeCell="D6" sqref="D6"/>
    </sheetView>
  </sheetViews>
  <sheetFormatPr defaultColWidth="8.58203125" defaultRowHeight="14.5"/>
  <cols>
    <col min="1" max="1" width="1.08203125" style="3" customWidth="1"/>
    <col min="2" max="2" width="13.58203125" style="31" customWidth="1"/>
    <col min="3" max="3" width="17.5" style="3" customWidth="1"/>
    <col min="4" max="4" width="18" style="32" bestFit="1" customWidth="1"/>
    <col min="5" max="5" width="9.08203125" style="3" bestFit="1" customWidth="1"/>
    <col min="6" max="6" width="14.5" style="3" bestFit="1" customWidth="1"/>
    <col min="7" max="7" width="14.08203125" style="3" customWidth="1"/>
    <col min="8" max="8" width="8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4" style="3" customWidth="1"/>
    <col min="13" max="13" width="8.08203125" style="30" bestFit="1" customWidth="1"/>
    <col min="14" max="14" width="17.5" style="3" bestFit="1" customWidth="1"/>
    <col min="15" max="15" width="15.58203125" style="3" customWidth="1"/>
    <col min="16" max="16" width="2.58203125" style="3" hidden="1" customWidth="1"/>
    <col min="17" max="255" width="0" style="3" hidden="1" customWidth="1"/>
    <col min="256" max="256" width="8.58203125" style="3" hidden="1" customWidth="1"/>
    <col min="257" max="16383" width="0" style="3" hidden="1" customWidth="1"/>
    <col min="16384" max="16384" width="4.5" style="3" hidden="1" customWidth="1"/>
  </cols>
  <sheetData>
    <row r="1" spans="2:15" ht="9" customHeight="1" thickBot="1">
      <c r="B1" s="30"/>
      <c r="C1" s="31"/>
      <c r="D1" s="30"/>
      <c r="E1" s="32"/>
      <c r="G1" s="31"/>
    </row>
    <row r="2" spans="2:15">
      <c r="B2" s="33" t="s">
        <v>6</v>
      </c>
      <c r="C2" s="34">
        <v>3710</v>
      </c>
      <c r="D2" s="35">
        <v>3275.27</v>
      </c>
      <c r="E2" s="4"/>
      <c r="F2" s="36"/>
      <c r="G2" s="37"/>
      <c r="I2" s="38" t="s">
        <v>2</v>
      </c>
      <c r="J2" s="13" t="s">
        <v>3</v>
      </c>
      <c r="K2" s="39" t="s">
        <v>4</v>
      </c>
      <c r="M2" s="31" t="s">
        <v>87</v>
      </c>
    </row>
    <row r="3" spans="2:15">
      <c r="B3" s="40" t="s">
        <v>9</v>
      </c>
      <c r="C3" s="41">
        <f>SUMIF(K3:K35,"Yes*",J3:J35)</f>
        <v>-3587.2400000000007</v>
      </c>
      <c r="D3" s="42"/>
      <c r="E3" s="5"/>
      <c r="F3" s="43"/>
      <c r="G3" s="44"/>
      <c r="I3" s="11" t="s">
        <v>7</v>
      </c>
      <c r="J3" s="12">
        <v>-879</v>
      </c>
      <c r="K3" s="11" t="s">
        <v>87</v>
      </c>
      <c r="M3" s="31" t="s">
        <v>8</v>
      </c>
    </row>
    <row r="4" spans="2:15" ht="15" thickBot="1">
      <c r="B4" s="33" t="s">
        <v>12</v>
      </c>
      <c r="C4" s="34">
        <v>30.61</v>
      </c>
      <c r="D4" s="6">
        <v>3277.16</v>
      </c>
      <c r="E4" s="5"/>
      <c r="F4" s="45"/>
      <c r="G4" s="46"/>
      <c r="I4" s="11" t="s">
        <v>10</v>
      </c>
      <c r="J4" s="12">
        <v>-233</v>
      </c>
      <c r="K4" s="11" t="s">
        <v>87</v>
      </c>
      <c r="L4" s="31"/>
    </row>
    <row r="5" spans="2:15" ht="15" thickBot="1">
      <c r="B5" s="40" t="s">
        <v>15</v>
      </c>
      <c r="C5" s="83">
        <f>SUMIF(K3:K36,"No",J3:J36)</f>
        <v>-147</v>
      </c>
      <c r="D5" s="47"/>
      <c r="E5" s="48"/>
      <c r="F5" s="7" t="s">
        <v>1</v>
      </c>
      <c r="G5" s="4">
        <v>40</v>
      </c>
      <c r="I5" s="11" t="s">
        <v>14</v>
      </c>
      <c r="J5" s="12">
        <v>-21</v>
      </c>
      <c r="K5" s="11" t="s">
        <v>87</v>
      </c>
    </row>
    <row r="6" spans="2:15">
      <c r="B6" s="33" t="s">
        <v>18</v>
      </c>
      <c r="C6" s="49">
        <f>C5+C4</f>
        <v>-116.39</v>
      </c>
      <c r="D6" s="32" t="s">
        <v>19</v>
      </c>
      <c r="E6" s="30"/>
      <c r="F6" s="6" t="s">
        <v>116</v>
      </c>
      <c r="G6" s="5"/>
      <c r="I6" s="11" t="s">
        <v>17</v>
      </c>
      <c r="J6" s="12">
        <v>-16.3</v>
      </c>
      <c r="K6" s="11" t="s">
        <v>87</v>
      </c>
    </row>
    <row r="7" spans="2:15">
      <c r="C7" s="50" t="s">
        <v>443</v>
      </c>
      <c r="F7" s="6" t="s">
        <v>80</v>
      </c>
      <c r="G7" s="5">
        <v>240</v>
      </c>
      <c r="I7" s="11" t="s">
        <v>21</v>
      </c>
      <c r="J7" s="12">
        <v>-13.2</v>
      </c>
      <c r="K7" s="11" t="s">
        <v>87</v>
      </c>
      <c r="N7" s="30"/>
    </row>
    <row r="8" spans="2:15" ht="15" thickBot="1">
      <c r="B8" s="8" t="s">
        <v>446</v>
      </c>
      <c r="C8" s="31"/>
      <c r="D8" s="30"/>
      <c r="E8" s="32"/>
      <c r="F8" s="51" t="s">
        <v>362</v>
      </c>
      <c r="G8" s="48">
        <f>SUM(G5:G7)</f>
        <v>280</v>
      </c>
      <c r="I8" s="11" t="s">
        <v>24</v>
      </c>
      <c r="J8" s="12">
        <v>-98</v>
      </c>
      <c r="K8" s="11" t="s">
        <v>87</v>
      </c>
      <c r="L8" s="3">
        <v>98</v>
      </c>
      <c r="M8" s="52" t="s">
        <v>148</v>
      </c>
      <c r="N8" s="52" t="s">
        <v>447</v>
      </c>
      <c r="O8" s="53" t="s">
        <v>448</v>
      </c>
    </row>
    <row r="9" spans="2:15" ht="15" thickBot="1">
      <c r="B9" s="30"/>
      <c r="C9" s="31"/>
      <c r="D9" s="30"/>
      <c r="E9" s="32"/>
      <c r="I9" s="11" t="s">
        <v>25</v>
      </c>
      <c r="J9" s="12">
        <v>-22</v>
      </c>
      <c r="K9" s="11" t="s">
        <v>8</v>
      </c>
      <c r="M9" s="52"/>
      <c r="N9" s="52" t="s">
        <v>449</v>
      </c>
      <c r="O9" s="11">
        <v>214</v>
      </c>
    </row>
    <row r="10" spans="2:15">
      <c r="B10" s="54"/>
      <c r="C10" s="55"/>
      <c r="D10" s="56"/>
      <c r="E10" s="57"/>
      <c r="I10" s="11" t="s">
        <v>13</v>
      </c>
      <c r="J10" s="12">
        <v>-125.9</v>
      </c>
      <c r="K10" s="11" t="s">
        <v>87</v>
      </c>
      <c r="L10" s="58"/>
      <c r="M10" s="52"/>
      <c r="N10" s="52" t="s">
        <v>450</v>
      </c>
      <c r="O10" s="11">
        <v>304</v>
      </c>
    </row>
    <row r="11" spans="2:15">
      <c r="B11" s="59"/>
      <c r="C11" s="60"/>
      <c r="D11" s="52"/>
      <c r="E11" s="61"/>
      <c r="G11" s="9"/>
      <c r="I11" s="11" t="s">
        <v>27</v>
      </c>
      <c r="J11" s="12">
        <v>-15</v>
      </c>
      <c r="K11" s="11" t="s">
        <v>87</v>
      </c>
      <c r="M11" s="52" t="s">
        <v>451</v>
      </c>
      <c r="N11" s="52" t="s">
        <v>452</v>
      </c>
      <c r="O11" s="11">
        <v>82</v>
      </c>
    </row>
    <row r="12" spans="2:15">
      <c r="B12" s="59"/>
      <c r="C12" s="60"/>
      <c r="D12" s="52"/>
      <c r="E12" s="61"/>
      <c r="I12" s="11" t="s">
        <v>444</v>
      </c>
      <c r="J12" s="12">
        <v>-300</v>
      </c>
      <c r="K12" s="11" t="s">
        <v>87</v>
      </c>
      <c r="L12" s="58"/>
      <c r="M12" s="52">
        <v>300</v>
      </c>
      <c r="N12" s="52"/>
      <c r="O12" s="53"/>
    </row>
    <row r="13" spans="2:15" ht="17" thickBot="1">
      <c r="B13" s="62"/>
      <c r="C13" s="63"/>
      <c r="D13" s="64"/>
      <c r="E13" s="65"/>
      <c r="G13" s="16"/>
      <c r="I13" s="11" t="s">
        <v>128</v>
      </c>
      <c r="J13" s="12">
        <v>-125</v>
      </c>
      <c r="K13" s="11" t="s">
        <v>8</v>
      </c>
      <c r="L13" s="58"/>
    </row>
    <row r="14" spans="2:15" ht="17" thickBot="1">
      <c r="B14" s="30"/>
      <c r="D14" s="66"/>
      <c r="E14" s="67"/>
      <c r="F14" s="14"/>
      <c r="G14" s="16"/>
      <c r="I14" s="11" t="s">
        <v>13</v>
      </c>
      <c r="J14" s="12">
        <v>-125.9</v>
      </c>
      <c r="K14" s="11" t="s">
        <v>87</v>
      </c>
      <c r="L14" s="58"/>
    </row>
    <row r="15" spans="2:15">
      <c r="B15" s="30"/>
      <c r="C15" s="31"/>
      <c r="D15" s="68"/>
      <c r="E15" s="67"/>
      <c r="F15" s="14"/>
      <c r="I15" s="11" t="s">
        <v>13</v>
      </c>
      <c r="J15" s="12">
        <v>-125.9</v>
      </c>
      <c r="K15" s="11" t="s">
        <v>87</v>
      </c>
      <c r="L15" s="58"/>
    </row>
    <row r="16" spans="2:15">
      <c r="B16" s="30"/>
      <c r="C16" s="31"/>
      <c r="D16" s="68"/>
      <c r="E16" s="68"/>
      <c r="I16" s="11" t="s">
        <v>30</v>
      </c>
      <c r="J16" s="12">
        <v>-11.99</v>
      </c>
      <c r="K16" s="11" t="s">
        <v>87</v>
      </c>
    </row>
    <row r="17" spans="2:15" ht="15" thickBot="1">
      <c r="B17" s="30"/>
      <c r="C17" s="31"/>
      <c r="D17" s="69"/>
      <c r="E17" s="70"/>
      <c r="I17" s="11" t="s">
        <v>32</v>
      </c>
      <c r="J17" s="12">
        <v>-25</v>
      </c>
      <c r="K17" s="11" t="s">
        <v>87</v>
      </c>
    </row>
    <row r="18" spans="2:15" ht="15" thickBot="1">
      <c r="B18" s="30"/>
      <c r="C18" s="31"/>
      <c r="D18" s="71"/>
      <c r="E18" s="72"/>
      <c r="I18" s="11" t="s">
        <v>33</v>
      </c>
      <c r="J18" s="12">
        <v>-188</v>
      </c>
      <c r="K18" s="11" t="s">
        <v>87</v>
      </c>
      <c r="M18" s="73" t="s">
        <v>453</v>
      </c>
      <c r="N18" s="3">
        <v>-39.56</v>
      </c>
      <c r="O18" s="74">
        <v>43435</v>
      </c>
    </row>
    <row r="19" spans="2:15" ht="15" thickBot="1">
      <c r="D19" s="75"/>
      <c r="E19" s="76"/>
      <c r="I19" s="11" t="s">
        <v>34</v>
      </c>
      <c r="J19" s="12">
        <v>-16</v>
      </c>
      <c r="K19" s="11" t="s">
        <v>87</v>
      </c>
    </row>
    <row r="20" spans="2:15">
      <c r="I20" s="11" t="s">
        <v>36</v>
      </c>
      <c r="J20" s="12">
        <v>-6.25</v>
      </c>
      <c r="K20" s="11" t="s">
        <v>87</v>
      </c>
    </row>
    <row r="21" spans="2:15">
      <c r="I21" s="11" t="s">
        <v>34</v>
      </c>
      <c r="J21" s="12">
        <v>-30.3</v>
      </c>
      <c r="K21" s="11" t="s">
        <v>87</v>
      </c>
      <c r="M21" s="30">
        <v>-25.8</v>
      </c>
      <c r="N21" s="3" t="s">
        <v>454</v>
      </c>
    </row>
    <row r="22" spans="2:15">
      <c r="C22"/>
      <c r="F22" s="32"/>
      <c r="I22" s="11" t="s">
        <v>13</v>
      </c>
      <c r="J22" s="12"/>
      <c r="K22" s="11" t="s">
        <v>87</v>
      </c>
      <c r="M22" s="30" t="s">
        <v>455</v>
      </c>
    </row>
    <row r="23" spans="2:15">
      <c r="C23" s="77"/>
      <c r="F23"/>
      <c r="I23" s="11" t="s">
        <v>42</v>
      </c>
      <c r="J23" s="12">
        <v>-400</v>
      </c>
      <c r="K23" s="11" t="s">
        <v>87</v>
      </c>
    </row>
    <row r="24" spans="2:15">
      <c r="C24" s="77"/>
      <c r="I24" s="11" t="s">
        <v>25</v>
      </c>
      <c r="J24" s="78">
        <v>-22</v>
      </c>
      <c r="K24" s="11" t="s">
        <v>87</v>
      </c>
    </row>
    <row r="25" spans="2:15">
      <c r="C25"/>
      <c r="F25"/>
      <c r="I25" s="11" t="s">
        <v>47</v>
      </c>
      <c r="J25" s="12">
        <v>-10</v>
      </c>
      <c r="K25" s="11" t="s">
        <v>87</v>
      </c>
      <c r="L25" s="14"/>
      <c r="O25" s="3" t="s">
        <v>456</v>
      </c>
    </row>
    <row r="26" spans="2:15">
      <c r="C26" s="10"/>
      <c r="D26" s="79"/>
      <c r="I26" s="11" t="s">
        <v>80</v>
      </c>
      <c r="J26" s="12"/>
      <c r="K26" s="11" t="s">
        <v>8</v>
      </c>
      <c r="L26" s="14"/>
      <c r="M26" s="80" t="s">
        <v>457</v>
      </c>
      <c r="N26" s="17">
        <v>3534</v>
      </c>
    </row>
    <row r="27" spans="2:15">
      <c r="I27" s="11" t="s">
        <v>158</v>
      </c>
      <c r="J27" s="12">
        <v>-825</v>
      </c>
      <c r="K27" s="11" t="s">
        <v>87</v>
      </c>
      <c r="L27" s="14"/>
      <c r="M27" s="73" t="s">
        <v>13</v>
      </c>
      <c r="N27" s="18">
        <v>483.5</v>
      </c>
    </row>
    <row r="28" spans="2:15">
      <c r="I28" s="11" t="s">
        <v>422</v>
      </c>
      <c r="J28" s="12">
        <v>-20</v>
      </c>
      <c r="K28" s="11" t="s">
        <v>87</v>
      </c>
      <c r="L28" s="14"/>
      <c r="M28" s="73" t="s">
        <v>458</v>
      </c>
      <c r="N28" s="18">
        <v>125.9</v>
      </c>
    </row>
    <row r="29" spans="2:15">
      <c r="I29" s="11" t="s">
        <v>54</v>
      </c>
      <c r="J29" s="12">
        <v>-23</v>
      </c>
      <c r="K29" s="11" t="s">
        <v>87</v>
      </c>
      <c r="L29" s="14"/>
      <c r="M29" s="30">
        <v>-7</v>
      </c>
    </row>
    <row r="30" spans="2:15">
      <c r="I30" s="11" t="s">
        <v>407</v>
      </c>
      <c r="J30" s="12"/>
      <c r="K30" s="11" t="s">
        <v>8</v>
      </c>
      <c r="L30" s="81"/>
    </row>
    <row r="31" spans="2:15">
      <c r="I31" s="11" t="s">
        <v>55</v>
      </c>
      <c r="J31" s="12">
        <v>-33.75</v>
      </c>
      <c r="K31" s="11" t="s">
        <v>87</v>
      </c>
    </row>
    <row r="32" spans="2:15">
      <c r="I32" s="11" t="s">
        <v>176</v>
      </c>
      <c r="J32" s="12">
        <v>-12.75</v>
      </c>
      <c r="K32" s="11" t="s">
        <v>87</v>
      </c>
    </row>
    <row r="33" spans="1:16">
      <c r="I33" s="11" t="s">
        <v>86</v>
      </c>
      <c r="J33" s="12">
        <v>-10</v>
      </c>
      <c r="K33" s="11" t="s">
        <v>87</v>
      </c>
    </row>
    <row r="34" spans="1:16">
      <c r="I34" s="11" t="s">
        <v>120</v>
      </c>
      <c r="J34" s="12"/>
      <c r="K34" s="11" t="s">
        <v>8</v>
      </c>
      <c r="P34" s="15"/>
    </row>
    <row r="35" spans="1:16">
      <c r="I35" s="11" t="s">
        <v>439</v>
      </c>
      <c r="J35" s="12"/>
      <c r="K35" s="11" t="s">
        <v>8</v>
      </c>
      <c r="P35" s="15"/>
    </row>
    <row r="36" spans="1:16">
      <c r="I36" s="82" t="s">
        <v>445</v>
      </c>
      <c r="J36" s="78"/>
      <c r="K36" s="11" t="s">
        <v>8</v>
      </c>
    </row>
    <row r="37" spans="1:16">
      <c r="A37" s="14"/>
      <c r="I37" s="11"/>
      <c r="K37" s="11" t="s">
        <v>8</v>
      </c>
    </row>
    <row r="38" spans="1:16">
      <c r="H38" s="30"/>
      <c r="K38" s="82" t="s">
        <v>8</v>
      </c>
    </row>
    <row r="39" spans="1:16">
      <c r="H39" s="30"/>
      <c r="K39" s="82" t="s">
        <v>8</v>
      </c>
    </row>
    <row r="40" spans="1:16">
      <c r="H40" s="30"/>
      <c r="K40" s="82" t="s">
        <v>8</v>
      </c>
    </row>
    <row r="41" spans="1:16">
      <c r="H41" s="30"/>
      <c r="K41" s="82" t="s">
        <v>8</v>
      </c>
    </row>
    <row r="42" spans="1:16">
      <c r="H42" s="30"/>
      <c r="K42" s="82" t="s">
        <v>8</v>
      </c>
    </row>
    <row r="43" spans="1:16">
      <c r="H43" s="30"/>
      <c r="K43" s="82" t="s">
        <v>8</v>
      </c>
    </row>
    <row r="44" spans="1:16">
      <c r="H44" s="30"/>
      <c r="K44" s="82" t="s">
        <v>8</v>
      </c>
    </row>
    <row r="45" spans="1:16">
      <c r="H45" s="30"/>
      <c r="K45" s="82" t="s">
        <v>8</v>
      </c>
    </row>
    <row r="46" spans="1:16">
      <c r="H46" s="30"/>
      <c r="K46" s="82" t="s">
        <v>8</v>
      </c>
    </row>
    <row r="47" spans="1:16">
      <c r="H47" s="30"/>
    </row>
    <row r="48" spans="1:16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  <row r="57" spans="8:8">
      <c r="H57" s="30"/>
    </row>
    <row r="58" spans="8:8">
      <c r="H58" s="30"/>
    </row>
    <row r="59" spans="8:8">
      <c r="H59" s="30"/>
    </row>
    <row r="60" spans="8:8">
      <c r="H60" s="30"/>
    </row>
    <row r="61" spans="8:8">
      <c r="H61" s="30"/>
    </row>
    <row r="62" spans="8:8">
      <c r="H62" s="30"/>
    </row>
  </sheetData>
  <autoFilter ref="I2:K2" xr:uid="{00000000-0009-0000-0000-00003A000000}"/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38"/>
  <dimension ref="A1:XFC62"/>
  <sheetViews>
    <sheetView topLeftCell="B18" zoomScale="175" zoomScaleNormal="175" workbookViewId="0">
      <selection activeCell="D6" sqref="D6"/>
    </sheetView>
  </sheetViews>
  <sheetFormatPr defaultColWidth="8.58203125" defaultRowHeight="14.5"/>
  <cols>
    <col min="1" max="1" width="1.08203125" style="3" customWidth="1"/>
    <col min="2" max="2" width="13.58203125" style="31" customWidth="1"/>
    <col min="3" max="3" width="17.5" style="3" customWidth="1"/>
    <col min="4" max="4" width="18" style="32" bestFit="1" customWidth="1"/>
    <col min="5" max="5" width="9.08203125" style="3" bestFit="1" customWidth="1"/>
    <col min="6" max="6" width="14.5" style="3" bestFit="1" customWidth="1"/>
    <col min="7" max="7" width="14.08203125" style="3" customWidth="1"/>
    <col min="8" max="8" width="8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4" style="3" customWidth="1"/>
    <col min="13" max="13" width="8.08203125" style="30" bestFit="1" customWidth="1"/>
    <col min="14" max="14" width="17.5" style="3" bestFit="1" customWidth="1"/>
    <col min="15" max="15" width="15.58203125" style="3" customWidth="1"/>
    <col min="16" max="16" width="2.58203125" style="3" hidden="1" customWidth="1"/>
    <col min="17" max="255" width="0" style="3" hidden="1" customWidth="1"/>
    <col min="256" max="256" width="8.58203125" style="3" hidden="1" customWidth="1"/>
    <col min="257" max="16383" width="0" style="3" hidden="1" customWidth="1"/>
    <col min="16384" max="16384" width="4.5" style="3" hidden="1" customWidth="1"/>
  </cols>
  <sheetData>
    <row r="1" spans="2:15" ht="9" customHeight="1" thickBot="1">
      <c r="B1" s="30"/>
      <c r="C1" s="31"/>
      <c r="D1" s="30"/>
      <c r="E1" s="32"/>
      <c r="G1" s="31"/>
    </row>
    <row r="2" spans="2:15">
      <c r="B2" s="33" t="s">
        <v>6</v>
      </c>
      <c r="C2" s="34">
        <v>3830.96</v>
      </c>
      <c r="D2" s="35">
        <v>3275.27</v>
      </c>
      <c r="E2" s="4"/>
      <c r="F2" s="36"/>
      <c r="G2" s="37"/>
      <c r="I2" s="38" t="s">
        <v>2</v>
      </c>
      <c r="J2" s="13" t="s">
        <v>3</v>
      </c>
      <c r="K2" s="39" t="s">
        <v>4</v>
      </c>
      <c r="M2" s="31" t="s">
        <v>87</v>
      </c>
    </row>
    <row r="3" spans="2:15">
      <c r="B3" s="40" t="s">
        <v>9</v>
      </c>
      <c r="C3" s="41">
        <f>SUMIF(K3:K35,"Yes*",J3:J35)</f>
        <v>-3879.44</v>
      </c>
      <c r="D3" s="42"/>
      <c r="E3" s="5"/>
      <c r="F3" s="43"/>
      <c r="G3" s="44"/>
      <c r="I3" s="11" t="s">
        <v>7</v>
      </c>
      <c r="J3" s="12">
        <v>-879</v>
      </c>
      <c r="K3" s="11" t="s">
        <v>87</v>
      </c>
      <c r="M3" s="31" t="s">
        <v>8</v>
      </c>
    </row>
    <row r="4" spans="2:15" ht="15" thickBot="1">
      <c r="B4" s="33" t="s">
        <v>12</v>
      </c>
      <c r="C4" s="34">
        <v>25.71</v>
      </c>
      <c r="D4" s="6">
        <v>3277.16</v>
      </c>
      <c r="E4" s="5"/>
      <c r="F4" s="45"/>
      <c r="G4" s="46"/>
      <c r="I4" s="11" t="s">
        <v>10</v>
      </c>
      <c r="J4" s="12">
        <v>-233</v>
      </c>
      <c r="K4" s="11" t="s">
        <v>87</v>
      </c>
      <c r="L4" s="31"/>
    </row>
    <row r="5" spans="2:15" ht="15" thickBot="1">
      <c r="B5" s="40" t="s">
        <v>15</v>
      </c>
      <c r="C5" s="83">
        <f>SUMIF(K3:K36,"No",J3:J36)</f>
        <v>-22</v>
      </c>
      <c r="D5" s="47"/>
      <c r="E5" s="48"/>
      <c r="F5" s="7" t="s">
        <v>1</v>
      </c>
      <c r="G5" s="4">
        <v>52</v>
      </c>
      <c r="I5" s="11" t="s">
        <v>14</v>
      </c>
      <c r="J5" s="12">
        <v>-21</v>
      </c>
      <c r="K5" s="11" t="s">
        <v>87</v>
      </c>
    </row>
    <row r="6" spans="2:15">
      <c r="B6" s="33" t="s">
        <v>18</v>
      </c>
      <c r="C6" s="49">
        <f>C5+C4</f>
        <v>3.7100000000000009</v>
      </c>
      <c r="D6" s="32" t="s">
        <v>19</v>
      </c>
      <c r="E6" s="30"/>
      <c r="F6" s="6" t="s">
        <v>116</v>
      </c>
      <c r="G6" s="5">
        <v>260</v>
      </c>
      <c r="I6" s="11" t="s">
        <v>17</v>
      </c>
      <c r="J6" s="12">
        <v>-16.3</v>
      </c>
      <c r="K6" s="11" t="s">
        <v>87</v>
      </c>
    </row>
    <row r="7" spans="2:15">
      <c r="C7" s="50" t="s">
        <v>443</v>
      </c>
      <c r="F7" s="6" t="s">
        <v>384</v>
      </c>
      <c r="G7" s="5">
        <v>115</v>
      </c>
      <c r="I7" s="11" t="s">
        <v>21</v>
      </c>
      <c r="J7" s="12">
        <v>-13.2</v>
      </c>
      <c r="K7" s="11" t="s">
        <v>87</v>
      </c>
      <c r="N7" s="30"/>
    </row>
    <row r="8" spans="2:15" ht="15" thickBot="1">
      <c r="B8" s="8" t="s">
        <v>446</v>
      </c>
      <c r="C8" s="31"/>
      <c r="D8" s="30"/>
      <c r="E8" s="32"/>
      <c r="F8" s="51" t="s">
        <v>362</v>
      </c>
      <c r="G8" s="48">
        <f>SUM(G5:G7)</f>
        <v>427</v>
      </c>
      <c r="I8" s="11" t="s">
        <v>24</v>
      </c>
      <c r="J8" s="12">
        <v>-98</v>
      </c>
      <c r="K8" s="11" t="s">
        <v>87</v>
      </c>
      <c r="L8" s="3">
        <v>98</v>
      </c>
      <c r="M8" s="52" t="s">
        <v>148</v>
      </c>
      <c r="N8" s="52" t="s">
        <v>447</v>
      </c>
      <c r="O8" s="53" t="s">
        <v>448</v>
      </c>
    </row>
    <row r="9" spans="2:15" ht="15" thickBot="1">
      <c r="B9" s="30"/>
      <c r="C9" s="31"/>
      <c r="D9" s="30"/>
      <c r="E9" s="32"/>
      <c r="I9" s="11" t="s">
        <v>25</v>
      </c>
      <c r="J9" s="12">
        <v>-22</v>
      </c>
      <c r="K9" s="11" t="s">
        <v>8</v>
      </c>
      <c r="M9" s="52"/>
      <c r="N9" s="52" t="s">
        <v>449</v>
      </c>
      <c r="O9" s="11">
        <v>214</v>
      </c>
    </row>
    <row r="10" spans="2:15">
      <c r="B10" s="54"/>
      <c r="C10" s="55"/>
      <c r="D10" s="56"/>
      <c r="E10" s="57"/>
      <c r="I10" s="11" t="s">
        <v>459</v>
      </c>
      <c r="J10" s="12"/>
      <c r="K10" s="11" t="s">
        <v>8</v>
      </c>
      <c r="L10" s="58"/>
      <c r="M10" s="52"/>
      <c r="N10" s="52" t="s">
        <v>450</v>
      </c>
      <c r="O10" s="11">
        <v>304</v>
      </c>
    </row>
    <row r="11" spans="2:15">
      <c r="B11" s="59"/>
      <c r="C11" s="60"/>
      <c r="D11" s="52"/>
      <c r="E11" s="61"/>
      <c r="G11" s="9"/>
      <c r="I11" s="11" t="s">
        <v>27</v>
      </c>
      <c r="J11" s="12">
        <v>-15</v>
      </c>
      <c r="K11" s="11" t="s">
        <v>87</v>
      </c>
      <c r="M11" s="52" t="s">
        <v>451</v>
      </c>
      <c r="N11" s="52" t="s">
        <v>452</v>
      </c>
      <c r="O11" s="11">
        <v>82</v>
      </c>
    </row>
    <row r="12" spans="2:15">
      <c r="B12" s="59"/>
      <c r="C12" s="60"/>
      <c r="D12" s="52"/>
      <c r="E12" s="61"/>
      <c r="I12" s="11" t="s">
        <v>444</v>
      </c>
      <c r="J12" s="12">
        <v>-300</v>
      </c>
      <c r="K12" s="11" t="s">
        <v>87</v>
      </c>
      <c r="L12" s="58"/>
      <c r="M12" s="52">
        <v>300</v>
      </c>
      <c r="N12" s="52"/>
      <c r="O12" s="53"/>
    </row>
    <row r="13" spans="2:15" ht="17" thickBot="1">
      <c r="B13" s="62"/>
      <c r="C13" s="63"/>
      <c r="D13" s="64"/>
      <c r="E13" s="65"/>
      <c r="G13" s="16"/>
      <c r="I13" s="11" t="s">
        <v>128</v>
      </c>
      <c r="J13" s="12">
        <v>-9</v>
      </c>
      <c r="K13" s="11" t="s">
        <v>87</v>
      </c>
      <c r="L13" s="58"/>
    </row>
    <row r="14" spans="2:15" ht="17" thickBot="1">
      <c r="B14" s="30"/>
      <c r="D14" s="66"/>
      <c r="E14" s="67"/>
      <c r="F14" s="14"/>
      <c r="G14" s="16"/>
      <c r="I14" s="11" t="s">
        <v>13</v>
      </c>
      <c r="J14" s="12">
        <v>-125.9</v>
      </c>
      <c r="K14" s="11" t="s">
        <v>87</v>
      </c>
      <c r="L14" s="58"/>
    </row>
    <row r="15" spans="2:15">
      <c r="B15" s="30"/>
      <c r="C15" s="31"/>
      <c r="D15" s="68"/>
      <c r="E15" s="67"/>
      <c r="F15" s="14"/>
      <c r="I15" s="11" t="s">
        <v>13</v>
      </c>
      <c r="J15" s="12">
        <v>-125.9</v>
      </c>
      <c r="K15" s="11" t="s">
        <v>87</v>
      </c>
      <c r="L15" s="58"/>
    </row>
    <row r="16" spans="2:15">
      <c r="B16" s="30"/>
      <c r="C16" s="31"/>
      <c r="D16" s="68"/>
      <c r="E16" s="68"/>
      <c r="I16" s="11" t="s">
        <v>30</v>
      </c>
      <c r="J16" s="12">
        <v>-11.99</v>
      </c>
      <c r="K16" s="11" t="s">
        <v>87</v>
      </c>
    </row>
    <row r="17" spans="2:15" ht="15" thickBot="1">
      <c r="B17" s="30"/>
      <c r="C17" s="31"/>
      <c r="D17" s="69"/>
      <c r="E17" s="70"/>
      <c r="I17" s="11" t="s">
        <v>32</v>
      </c>
      <c r="J17" s="12">
        <v>-27</v>
      </c>
      <c r="K17" s="11" t="s">
        <v>87</v>
      </c>
    </row>
    <row r="18" spans="2:15" ht="15" thickBot="1">
      <c r="B18" s="30"/>
      <c r="C18" s="31"/>
      <c r="D18" s="71"/>
      <c r="E18" s="72"/>
      <c r="I18" s="11" t="s">
        <v>33</v>
      </c>
      <c r="J18" s="12">
        <v>-188</v>
      </c>
      <c r="K18" s="11" t="s">
        <v>87</v>
      </c>
      <c r="M18" s="73" t="s">
        <v>453</v>
      </c>
      <c r="N18" s="3">
        <v>-39.56</v>
      </c>
      <c r="O18" s="74">
        <v>43435</v>
      </c>
    </row>
    <row r="19" spans="2:15" ht="15" thickBot="1">
      <c r="D19" s="75"/>
      <c r="E19" s="76"/>
      <c r="I19" s="11" t="s">
        <v>34</v>
      </c>
      <c r="J19" s="12">
        <v>-16</v>
      </c>
      <c r="K19" s="11" t="s">
        <v>87</v>
      </c>
    </row>
    <row r="20" spans="2:15">
      <c r="I20" s="11" t="s">
        <v>36</v>
      </c>
      <c r="J20" s="12">
        <v>-6.25</v>
      </c>
      <c r="K20" s="11" t="s">
        <v>87</v>
      </c>
    </row>
    <row r="21" spans="2:15">
      <c r="I21" s="11" t="s">
        <v>34</v>
      </c>
      <c r="J21" s="12">
        <v>-30.3</v>
      </c>
      <c r="K21" s="11" t="s">
        <v>87</v>
      </c>
      <c r="M21" s="30">
        <v>-25.8</v>
      </c>
      <c r="N21" s="3" t="s">
        <v>454</v>
      </c>
    </row>
    <row r="22" spans="2:15">
      <c r="C22"/>
      <c r="F22" s="32"/>
      <c r="I22" s="11" t="s">
        <v>13</v>
      </c>
      <c r="J22" s="12">
        <v>-125.9</v>
      </c>
      <c r="K22" s="11" t="s">
        <v>87</v>
      </c>
      <c r="M22" s="30" t="s">
        <v>455</v>
      </c>
    </row>
    <row r="23" spans="2:15">
      <c r="C23" s="77"/>
      <c r="F23"/>
      <c r="I23" s="11" t="s">
        <v>42</v>
      </c>
      <c r="J23" s="12">
        <v>-420</v>
      </c>
      <c r="K23" s="11" t="s">
        <v>87</v>
      </c>
    </row>
    <row r="24" spans="2:15">
      <c r="C24" s="77"/>
      <c r="I24" s="11" t="s">
        <v>116</v>
      </c>
      <c r="J24" s="78">
        <v>-120</v>
      </c>
      <c r="K24" s="11" t="s">
        <v>87</v>
      </c>
    </row>
    <row r="25" spans="2:15">
      <c r="C25"/>
      <c r="F25"/>
      <c r="I25" s="11" t="s">
        <v>47</v>
      </c>
      <c r="J25" s="12">
        <v>-10</v>
      </c>
      <c r="K25" s="11" t="s">
        <v>87</v>
      </c>
      <c r="L25" s="14"/>
      <c r="O25" s="3" t="s">
        <v>456</v>
      </c>
    </row>
    <row r="26" spans="2:15">
      <c r="C26" s="10"/>
      <c r="D26" s="79"/>
      <c r="I26" s="11" t="s">
        <v>460</v>
      </c>
      <c r="J26" s="12">
        <v>-65</v>
      </c>
      <c r="K26" s="11" t="s">
        <v>87</v>
      </c>
      <c r="L26" s="14"/>
      <c r="M26" s="80" t="s">
        <v>457</v>
      </c>
      <c r="N26" s="17">
        <v>3534</v>
      </c>
    </row>
    <row r="27" spans="2:15">
      <c r="I27" s="11" t="s">
        <v>158</v>
      </c>
      <c r="J27" s="12">
        <v>-750</v>
      </c>
      <c r="K27" s="11" t="s">
        <v>87</v>
      </c>
      <c r="L27" s="14"/>
      <c r="M27" s="73" t="s">
        <v>13</v>
      </c>
      <c r="N27" s="18">
        <v>483.5</v>
      </c>
    </row>
    <row r="28" spans="2:15">
      <c r="I28" s="11" t="s">
        <v>422</v>
      </c>
      <c r="J28" s="12">
        <v>-20</v>
      </c>
      <c r="K28" s="11" t="s">
        <v>87</v>
      </c>
      <c r="L28" s="14"/>
      <c r="M28" s="73" t="s">
        <v>458</v>
      </c>
      <c r="N28" s="18">
        <v>125.9</v>
      </c>
    </row>
    <row r="29" spans="2:15">
      <c r="I29" s="11" t="s">
        <v>54</v>
      </c>
      <c r="J29" s="12">
        <v>-38</v>
      </c>
      <c r="K29" s="11" t="s">
        <v>87</v>
      </c>
      <c r="L29" s="14"/>
      <c r="M29" s="30">
        <v>-7</v>
      </c>
    </row>
    <row r="30" spans="2:15">
      <c r="I30" s="11" t="s">
        <v>407</v>
      </c>
      <c r="J30" s="12">
        <v>-50</v>
      </c>
      <c r="K30" s="11" t="s">
        <v>87</v>
      </c>
      <c r="L30" s="81"/>
    </row>
    <row r="31" spans="2:15">
      <c r="I31" s="11" t="s">
        <v>55</v>
      </c>
      <c r="J31" s="12">
        <v>-33.75</v>
      </c>
      <c r="K31" s="11" t="s">
        <v>87</v>
      </c>
    </row>
    <row r="32" spans="2:15">
      <c r="I32" s="11" t="s">
        <v>176</v>
      </c>
      <c r="J32" s="12">
        <v>-12.75</v>
      </c>
      <c r="K32" s="11" t="s">
        <v>87</v>
      </c>
    </row>
    <row r="33" spans="1:16">
      <c r="I33" s="11" t="s">
        <v>86</v>
      </c>
      <c r="J33" s="12">
        <v>-10</v>
      </c>
      <c r="K33" s="11" t="s">
        <v>87</v>
      </c>
    </row>
    <row r="34" spans="1:16">
      <c r="I34" s="11" t="s">
        <v>120</v>
      </c>
      <c r="J34" s="12">
        <v>-108.2</v>
      </c>
      <c r="K34" s="11" t="s">
        <v>87</v>
      </c>
      <c r="P34" s="15"/>
    </row>
    <row r="35" spans="1:16">
      <c r="I35" s="11" t="s">
        <v>439</v>
      </c>
      <c r="J35" s="12"/>
      <c r="K35" s="11" t="s">
        <v>8</v>
      </c>
      <c r="P35" s="15"/>
    </row>
    <row r="36" spans="1:16">
      <c r="I36" s="82" t="s">
        <v>445</v>
      </c>
      <c r="J36" s="78"/>
      <c r="K36" s="11" t="s">
        <v>8</v>
      </c>
    </row>
    <row r="37" spans="1:16">
      <c r="A37" s="14"/>
      <c r="I37" s="11"/>
      <c r="K37" s="11" t="s">
        <v>8</v>
      </c>
    </row>
    <row r="38" spans="1:16">
      <c r="H38" s="30"/>
      <c r="K38" s="82" t="s">
        <v>8</v>
      </c>
    </row>
    <row r="39" spans="1:16">
      <c r="H39" s="30"/>
      <c r="K39" s="82" t="s">
        <v>8</v>
      </c>
    </row>
    <row r="40" spans="1:16">
      <c r="H40" s="30"/>
      <c r="K40" s="82" t="s">
        <v>8</v>
      </c>
    </row>
    <row r="41" spans="1:16">
      <c r="H41" s="30"/>
      <c r="K41" s="82" t="s">
        <v>8</v>
      </c>
    </row>
    <row r="42" spans="1:16">
      <c r="H42" s="30"/>
      <c r="K42" s="82" t="s">
        <v>8</v>
      </c>
    </row>
    <row r="43" spans="1:16">
      <c r="H43" s="30"/>
      <c r="K43" s="82" t="s">
        <v>8</v>
      </c>
    </row>
    <row r="44" spans="1:16">
      <c r="H44" s="30"/>
      <c r="K44" s="82" t="s">
        <v>8</v>
      </c>
    </row>
    <row r="45" spans="1:16">
      <c r="H45" s="30"/>
      <c r="K45" s="82" t="s">
        <v>8</v>
      </c>
    </row>
    <row r="46" spans="1:16">
      <c r="H46" s="30"/>
      <c r="K46" s="82" t="s">
        <v>8</v>
      </c>
    </row>
    <row r="47" spans="1:16">
      <c r="H47" s="30"/>
    </row>
    <row r="48" spans="1:16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  <row r="57" spans="8:8">
      <c r="H57" s="30"/>
    </row>
    <row r="58" spans="8:8">
      <c r="H58" s="30"/>
    </row>
    <row r="59" spans="8:8">
      <c r="H59" s="30"/>
    </row>
    <row r="60" spans="8:8">
      <c r="H60" s="30"/>
    </row>
    <row r="61" spans="8:8">
      <c r="H61" s="30"/>
    </row>
    <row r="62" spans="8:8">
      <c r="H62" s="30"/>
    </row>
  </sheetData>
  <autoFilter ref="I2:K2" xr:uid="{00000000-0009-0000-0000-00003B000000}"/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39"/>
  <dimension ref="A1:XFC62"/>
  <sheetViews>
    <sheetView zoomScale="124" zoomScaleNormal="124" workbookViewId="0">
      <selection activeCell="D6" sqref="D6"/>
    </sheetView>
  </sheetViews>
  <sheetFormatPr defaultColWidth="8.58203125" defaultRowHeight="14.5"/>
  <cols>
    <col min="1" max="1" width="1.08203125" style="3" customWidth="1"/>
    <col min="2" max="2" width="13.58203125" style="31" customWidth="1"/>
    <col min="3" max="3" width="17.5" style="3" customWidth="1"/>
    <col min="4" max="4" width="18" style="32" bestFit="1" customWidth="1"/>
    <col min="5" max="5" width="9.08203125" style="3" bestFit="1" customWidth="1"/>
    <col min="6" max="6" width="14.5" style="3" bestFit="1" customWidth="1"/>
    <col min="7" max="7" width="14.08203125" style="3" customWidth="1"/>
    <col min="8" max="8" width="8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4" style="3" customWidth="1"/>
    <col min="13" max="13" width="8.08203125" style="30" bestFit="1" customWidth="1"/>
    <col min="14" max="14" width="17.5" style="3" bestFit="1" customWidth="1"/>
    <col min="15" max="15" width="15.58203125" style="3" customWidth="1"/>
    <col min="16" max="16" width="2.58203125" style="3" hidden="1" customWidth="1"/>
    <col min="17" max="255" width="0" style="3" hidden="1" customWidth="1"/>
    <col min="256" max="256" width="8.58203125" style="3" hidden="1" customWidth="1"/>
    <col min="257" max="16383" width="0" style="3" hidden="1" customWidth="1"/>
    <col min="16384" max="16384" width="4.5" style="3" hidden="1" customWidth="1"/>
  </cols>
  <sheetData>
    <row r="1" spans="2:15" ht="9" customHeight="1" thickBot="1">
      <c r="B1" s="30"/>
      <c r="C1" s="31"/>
      <c r="D1" s="30"/>
      <c r="E1" s="32"/>
      <c r="G1" s="31"/>
    </row>
    <row r="2" spans="2:15">
      <c r="B2" s="33" t="s">
        <v>6</v>
      </c>
      <c r="C2" s="34">
        <v>5025</v>
      </c>
      <c r="D2" s="35">
        <v>3275.27</v>
      </c>
      <c r="E2" s="4"/>
      <c r="F2" s="36"/>
      <c r="G2" s="37"/>
      <c r="I2" s="38" t="s">
        <v>2</v>
      </c>
      <c r="J2" s="13" t="s">
        <v>3</v>
      </c>
      <c r="K2" s="39" t="s">
        <v>4</v>
      </c>
      <c r="M2" s="31" t="s">
        <v>87</v>
      </c>
    </row>
    <row r="3" spans="2:15">
      <c r="B3" s="40" t="s">
        <v>9</v>
      </c>
      <c r="C3" s="41">
        <f>SUMIF(K3:K35,"Yes*",J3:J35)</f>
        <v>-4779.84</v>
      </c>
      <c r="D3" s="42"/>
      <c r="E3" s="5"/>
      <c r="F3" s="43"/>
      <c r="G3" s="44"/>
      <c r="I3" s="11" t="s">
        <v>7</v>
      </c>
      <c r="J3" s="12">
        <v>-879</v>
      </c>
      <c r="K3" s="11" t="s">
        <v>87</v>
      </c>
      <c r="M3" s="31" t="s">
        <v>8</v>
      </c>
    </row>
    <row r="4" spans="2:15" ht="15" thickBot="1">
      <c r="B4" s="33" t="s">
        <v>12</v>
      </c>
      <c r="C4" s="34">
        <v>188.84</v>
      </c>
      <c r="D4" s="6">
        <v>3277.16</v>
      </c>
      <c r="E4" s="5"/>
      <c r="F4" s="45"/>
      <c r="G4" s="46"/>
      <c r="I4" s="11" t="s">
        <v>10</v>
      </c>
      <c r="J4" s="12">
        <v>-233</v>
      </c>
      <c r="K4" s="11" t="s">
        <v>87</v>
      </c>
      <c r="L4" s="31"/>
    </row>
    <row r="5" spans="2:15" ht="15" thickBot="1">
      <c r="B5" s="40" t="s">
        <v>15</v>
      </c>
      <c r="C5" s="41">
        <f>SUMIF(K3:K36,"No",J3:J36)</f>
        <v>-181.4</v>
      </c>
      <c r="D5" s="47"/>
      <c r="E5" s="48"/>
      <c r="F5" s="7" t="s">
        <v>1</v>
      </c>
      <c r="G5" s="4">
        <v>90</v>
      </c>
      <c r="I5" s="11" t="s">
        <v>14</v>
      </c>
      <c r="J5" s="12">
        <v>-21</v>
      </c>
      <c r="K5" s="11" t="s">
        <v>87</v>
      </c>
    </row>
    <row r="6" spans="2:15">
      <c r="B6" s="33" t="s">
        <v>18</v>
      </c>
      <c r="C6" s="49">
        <f>C5+C4</f>
        <v>7.4399999999999977</v>
      </c>
      <c r="D6" s="32" t="s">
        <v>19</v>
      </c>
      <c r="E6" s="30"/>
      <c r="F6" s="6" t="s">
        <v>461</v>
      </c>
      <c r="G6" s="5">
        <v>143</v>
      </c>
      <c r="I6" s="11" t="s">
        <v>17</v>
      </c>
      <c r="J6" s="12">
        <v>-16.3</v>
      </c>
      <c r="K6" s="11" t="s">
        <v>87</v>
      </c>
    </row>
    <row r="7" spans="2:15">
      <c r="C7" s="50" t="s">
        <v>443</v>
      </c>
      <c r="F7" s="6" t="s">
        <v>155</v>
      </c>
      <c r="G7" s="5">
        <v>10</v>
      </c>
      <c r="I7" s="11" t="s">
        <v>21</v>
      </c>
      <c r="J7" s="12">
        <v>-13.2</v>
      </c>
      <c r="K7" s="11" t="s">
        <v>87</v>
      </c>
      <c r="N7" s="30"/>
    </row>
    <row r="8" spans="2:15" ht="15" thickBot="1">
      <c r="B8" s="8" t="s">
        <v>446</v>
      </c>
      <c r="C8" s="31"/>
      <c r="D8" s="30"/>
      <c r="E8" s="32"/>
      <c r="F8" s="51" t="s">
        <v>362</v>
      </c>
      <c r="G8" s="48">
        <f>SUM(G5:G7)</f>
        <v>243</v>
      </c>
      <c r="I8" s="11" t="s">
        <v>24</v>
      </c>
      <c r="J8" s="12">
        <v>-98</v>
      </c>
      <c r="K8" s="11" t="s">
        <v>87</v>
      </c>
      <c r="L8" s="3">
        <v>98</v>
      </c>
      <c r="M8" s="52" t="s">
        <v>148</v>
      </c>
      <c r="N8" s="52" t="s">
        <v>447</v>
      </c>
      <c r="O8" s="53" t="s">
        <v>448</v>
      </c>
    </row>
    <row r="9" spans="2:15">
      <c r="B9" s="30"/>
      <c r="C9" s="31"/>
      <c r="D9" s="30"/>
      <c r="E9" s="32"/>
      <c r="I9" s="11" t="s">
        <v>25</v>
      </c>
      <c r="J9" s="12">
        <v>-22</v>
      </c>
      <c r="K9" s="11" t="s">
        <v>8</v>
      </c>
      <c r="M9" s="52"/>
      <c r="N9" s="52" t="s">
        <v>449</v>
      </c>
      <c r="O9" s="11">
        <v>214</v>
      </c>
    </row>
    <row r="10" spans="2:15">
      <c r="B10" s="3"/>
      <c r="D10" s="3"/>
      <c r="I10" s="11" t="s">
        <v>459</v>
      </c>
      <c r="J10" s="12">
        <v>-60.5</v>
      </c>
      <c r="K10" s="11" t="s">
        <v>87</v>
      </c>
      <c r="L10" s="58"/>
      <c r="M10" s="52"/>
      <c r="N10" s="52" t="s">
        <v>450</v>
      </c>
      <c r="O10" s="11">
        <v>304</v>
      </c>
    </row>
    <row r="11" spans="2:15">
      <c r="B11" s="3"/>
      <c r="D11" s="3"/>
      <c r="I11" s="11" t="s">
        <v>27</v>
      </c>
      <c r="J11" s="12">
        <v>-15</v>
      </c>
      <c r="K11" s="11" t="s">
        <v>87</v>
      </c>
      <c r="M11" s="52" t="s">
        <v>451</v>
      </c>
      <c r="N11" s="52" t="s">
        <v>452</v>
      </c>
      <c r="O11" s="11">
        <v>82</v>
      </c>
    </row>
    <row r="12" spans="2:15">
      <c r="B12" s="3"/>
      <c r="D12" s="3"/>
      <c r="I12" s="11" t="s">
        <v>444</v>
      </c>
      <c r="J12" s="12">
        <v>-300</v>
      </c>
      <c r="K12" s="11" t="s">
        <v>87</v>
      </c>
      <c r="L12" s="58"/>
      <c r="M12" s="52">
        <v>300</v>
      </c>
      <c r="N12" s="52"/>
      <c r="O12" s="53"/>
    </row>
    <row r="13" spans="2:15">
      <c r="B13" s="3"/>
      <c r="D13" s="3"/>
      <c r="I13" s="11" t="s">
        <v>128</v>
      </c>
      <c r="J13" s="12">
        <v>-9</v>
      </c>
      <c r="K13" s="11" t="s">
        <v>87</v>
      </c>
      <c r="L13" s="58"/>
    </row>
    <row r="14" spans="2:15">
      <c r="B14" s="3"/>
      <c r="D14" s="3"/>
      <c r="I14" s="11" t="s">
        <v>13</v>
      </c>
      <c r="J14" s="12">
        <v>-125.9</v>
      </c>
      <c r="K14" s="11" t="s">
        <v>87</v>
      </c>
      <c r="L14" s="58"/>
    </row>
    <row r="15" spans="2:15">
      <c r="B15" s="3"/>
      <c r="D15" s="3"/>
      <c r="I15" s="11" t="s">
        <v>13</v>
      </c>
      <c r="J15" s="12">
        <v>-125.9</v>
      </c>
      <c r="K15" s="11" t="s">
        <v>87</v>
      </c>
      <c r="L15" s="58"/>
    </row>
    <row r="16" spans="2:15">
      <c r="B16" s="3"/>
      <c r="D16" s="3"/>
      <c r="I16" s="11" t="s">
        <v>30</v>
      </c>
      <c r="J16" s="12">
        <v>-11.99</v>
      </c>
      <c r="K16" s="11" t="s">
        <v>87</v>
      </c>
    </row>
    <row r="17" spans="2:15">
      <c r="B17" s="3"/>
      <c r="D17" s="3"/>
      <c r="I17" s="11" t="s">
        <v>32</v>
      </c>
      <c r="J17" s="12">
        <v>-33.5</v>
      </c>
      <c r="K17" s="11" t="s">
        <v>8</v>
      </c>
    </row>
    <row r="18" spans="2:15">
      <c r="B18" s="3"/>
      <c r="D18" s="3"/>
      <c r="I18" s="11" t="s">
        <v>33</v>
      </c>
      <c r="J18" s="12">
        <v>-188</v>
      </c>
      <c r="K18" s="11" t="s">
        <v>87</v>
      </c>
      <c r="M18" s="73" t="s">
        <v>453</v>
      </c>
      <c r="N18" s="3">
        <v>-39.56</v>
      </c>
      <c r="O18" s="74">
        <v>43435</v>
      </c>
    </row>
    <row r="19" spans="2:15">
      <c r="B19" s="3"/>
      <c r="D19" s="3"/>
      <c r="I19" s="11" t="s">
        <v>34</v>
      </c>
      <c r="J19" s="12">
        <v>-16</v>
      </c>
      <c r="K19" s="11" t="s">
        <v>87</v>
      </c>
    </row>
    <row r="20" spans="2:15">
      <c r="B20" s="3"/>
      <c r="D20" s="3"/>
      <c r="I20" s="11" t="s">
        <v>36</v>
      </c>
      <c r="J20" s="12">
        <v>-6.25</v>
      </c>
      <c r="K20" s="11" t="s">
        <v>87</v>
      </c>
    </row>
    <row r="21" spans="2:15">
      <c r="B21" s="3"/>
      <c r="D21" s="3"/>
      <c r="I21" s="11" t="s">
        <v>34</v>
      </c>
      <c r="J21" s="12">
        <v>-30.3</v>
      </c>
      <c r="K21" s="11" t="s">
        <v>87</v>
      </c>
      <c r="M21" s="30">
        <v>-25.8</v>
      </c>
      <c r="N21" s="3" t="s">
        <v>454</v>
      </c>
    </row>
    <row r="22" spans="2:15">
      <c r="B22" s="3"/>
      <c r="D22" s="3"/>
      <c r="I22" s="11" t="s">
        <v>13</v>
      </c>
      <c r="J22" s="12">
        <v>-125.9</v>
      </c>
      <c r="K22" s="11" t="s">
        <v>8</v>
      </c>
      <c r="M22" s="30" t="s">
        <v>455</v>
      </c>
    </row>
    <row r="23" spans="2:15">
      <c r="B23" s="3"/>
      <c r="D23" s="3"/>
      <c r="I23" s="11" t="s">
        <v>42</v>
      </c>
      <c r="J23" s="12">
        <v>-645</v>
      </c>
      <c r="K23" s="11" t="s">
        <v>87</v>
      </c>
    </row>
    <row r="24" spans="2:15">
      <c r="B24" s="3"/>
      <c r="D24" s="3"/>
      <c r="I24" s="11" t="s">
        <v>462</v>
      </c>
      <c r="J24" s="78">
        <v>-278</v>
      </c>
      <c r="K24" s="11" t="s">
        <v>87</v>
      </c>
    </row>
    <row r="25" spans="2:15">
      <c r="B25" s="3"/>
      <c r="D25" s="3"/>
      <c r="I25" s="11" t="s">
        <v>47</v>
      </c>
      <c r="J25" s="12">
        <v>-10</v>
      </c>
      <c r="K25" s="11" t="s">
        <v>87</v>
      </c>
      <c r="L25" s="14"/>
      <c r="O25" s="3" t="s">
        <v>456</v>
      </c>
    </row>
    <row r="26" spans="2:15">
      <c r="B26" s="3"/>
      <c r="D26" s="3"/>
      <c r="I26" s="11" t="s">
        <v>463</v>
      </c>
      <c r="J26" s="12">
        <v>-15</v>
      </c>
      <c r="K26" s="11" t="s">
        <v>87</v>
      </c>
      <c r="L26" s="14"/>
      <c r="M26" s="80" t="s">
        <v>457</v>
      </c>
      <c r="N26" s="17">
        <v>3534</v>
      </c>
    </row>
    <row r="27" spans="2:15">
      <c r="B27" s="3"/>
      <c r="D27" s="3"/>
      <c r="I27" s="11" t="s">
        <v>158</v>
      </c>
      <c r="J27" s="12">
        <v>-750</v>
      </c>
      <c r="K27" s="11" t="s">
        <v>87</v>
      </c>
      <c r="L27" s="14"/>
      <c r="M27" s="73" t="s">
        <v>13</v>
      </c>
      <c r="N27" s="18">
        <v>483.5</v>
      </c>
    </row>
    <row r="28" spans="2:15">
      <c r="B28" s="3"/>
      <c r="D28" s="3"/>
      <c r="I28" s="11" t="s">
        <v>422</v>
      </c>
      <c r="J28" s="12">
        <v>-20</v>
      </c>
      <c r="K28" s="11" t="s">
        <v>87</v>
      </c>
      <c r="L28" s="14"/>
      <c r="M28" s="73" t="s">
        <v>458</v>
      </c>
      <c r="N28" s="18">
        <v>125.9</v>
      </c>
    </row>
    <row r="29" spans="2:15">
      <c r="I29" s="11" t="s">
        <v>120</v>
      </c>
      <c r="J29" s="12">
        <v>-35</v>
      </c>
      <c r="K29" s="11" t="s">
        <v>87</v>
      </c>
      <c r="L29" s="14"/>
      <c r="M29" s="30">
        <v>-7</v>
      </c>
    </row>
    <row r="30" spans="2:15">
      <c r="I30" s="11" t="s">
        <v>158</v>
      </c>
      <c r="J30" s="12">
        <v>-30</v>
      </c>
      <c r="K30" s="11" t="s">
        <v>87</v>
      </c>
      <c r="L30" s="81"/>
    </row>
    <row r="31" spans="2:15">
      <c r="I31" s="11" t="s">
        <v>55</v>
      </c>
      <c r="J31" s="12">
        <v>-33.75</v>
      </c>
      <c r="K31" s="11" t="s">
        <v>87</v>
      </c>
    </row>
    <row r="32" spans="2:15">
      <c r="I32" s="11" t="s">
        <v>176</v>
      </c>
      <c r="J32" s="12">
        <v>-12.75</v>
      </c>
      <c r="K32" s="11" t="s">
        <v>87</v>
      </c>
    </row>
    <row r="33" spans="1:16">
      <c r="I33" s="11" t="s">
        <v>86</v>
      </c>
      <c r="J33" s="12">
        <v>-10</v>
      </c>
      <c r="K33" s="11" t="s">
        <v>87</v>
      </c>
    </row>
    <row r="34" spans="1:16">
      <c r="I34" s="11" t="s">
        <v>464</v>
      </c>
      <c r="J34" s="12"/>
      <c r="K34" s="11" t="s">
        <v>8</v>
      </c>
      <c r="P34" s="15"/>
    </row>
    <row r="35" spans="1:16">
      <c r="I35" s="11" t="s">
        <v>439</v>
      </c>
      <c r="J35" s="12">
        <v>-791</v>
      </c>
      <c r="K35" s="11" t="s">
        <v>87</v>
      </c>
      <c r="P35" s="15"/>
    </row>
    <row r="36" spans="1:16">
      <c r="I36" s="82" t="s">
        <v>445</v>
      </c>
      <c r="J36" s="78"/>
      <c r="K36" s="11" t="s">
        <v>8</v>
      </c>
    </row>
    <row r="37" spans="1:16">
      <c r="A37" s="14"/>
      <c r="I37" s="11"/>
      <c r="K37" s="11" t="s">
        <v>8</v>
      </c>
    </row>
    <row r="38" spans="1:16">
      <c r="H38" s="30"/>
      <c r="K38" s="82" t="s">
        <v>8</v>
      </c>
    </row>
    <row r="39" spans="1:16">
      <c r="H39" s="30"/>
      <c r="K39" s="82" t="s">
        <v>8</v>
      </c>
    </row>
    <row r="40" spans="1:16">
      <c r="H40" s="30"/>
      <c r="K40" s="82" t="s">
        <v>8</v>
      </c>
    </row>
    <row r="41" spans="1:16">
      <c r="H41" s="30"/>
      <c r="K41" s="82" t="s">
        <v>8</v>
      </c>
    </row>
    <row r="42" spans="1:16">
      <c r="H42" s="30"/>
      <c r="K42" s="82" t="s">
        <v>8</v>
      </c>
    </row>
    <row r="43" spans="1:16">
      <c r="H43" s="30"/>
      <c r="K43" s="82" t="s">
        <v>8</v>
      </c>
    </row>
    <row r="44" spans="1:16">
      <c r="H44" s="30"/>
      <c r="K44" s="82" t="s">
        <v>8</v>
      </c>
    </row>
    <row r="45" spans="1:16">
      <c r="H45" s="30"/>
      <c r="K45" s="82" t="s">
        <v>8</v>
      </c>
    </row>
    <row r="46" spans="1:16">
      <c r="H46" s="30"/>
      <c r="K46" s="82" t="s">
        <v>8</v>
      </c>
    </row>
    <row r="47" spans="1:16">
      <c r="H47" s="30"/>
    </row>
    <row r="48" spans="1:16">
      <c r="H48" s="30"/>
    </row>
    <row r="49" spans="8:8">
      <c r="H49" s="30"/>
    </row>
    <row r="50" spans="8:8">
      <c r="H50" s="30"/>
    </row>
    <row r="51" spans="8:8">
      <c r="H51" s="30"/>
    </row>
    <row r="52" spans="8:8">
      <c r="H52" s="30"/>
    </row>
    <row r="53" spans="8:8">
      <c r="H53" s="30"/>
    </row>
    <row r="54" spans="8:8">
      <c r="H54" s="30"/>
    </row>
    <row r="55" spans="8:8">
      <c r="H55" s="30"/>
    </row>
    <row r="56" spans="8:8">
      <c r="H56" s="30"/>
    </row>
    <row r="57" spans="8:8">
      <c r="H57" s="30"/>
    </row>
    <row r="58" spans="8:8">
      <c r="H58" s="30"/>
    </row>
    <row r="59" spans="8:8">
      <c r="H59" s="30"/>
    </row>
    <row r="60" spans="8:8">
      <c r="H60" s="30"/>
    </row>
    <row r="61" spans="8:8">
      <c r="H61" s="30"/>
    </row>
    <row r="62" spans="8:8">
      <c r="H62" s="30"/>
    </row>
  </sheetData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40"/>
  <dimension ref="A1:IS48"/>
  <sheetViews>
    <sheetView zoomScale="175" zoomScaleNormal="175" workbookViewId="0">
      <selection activeCell="D6" sqref="D6"/>
    </sheetView>
  </sheetViews>
  <sheetFormatPr defaultColWidth="0" defaultRowHeight="14.5"/>
  <cols>
    <col min="1" max="2" width="1.08203125" style="3" customWidth="1"/>
    <col min="3" max="3" width="13.58203125" style="1" customWidth="1"/>
    <col min="4" max="4" width="17.5" style="3" customWidth="1"/>
    <col min="5" max="5" width="1.58203125" style="2" bestFit="1" customWidth="1"/>
    <col min="6" max="6" width="16.08203125" style="3" bestFit="1" customWidth="1"/>
    <col min="7" max="7" width="17.5" style="3" bestFit="1" customWidth="1"/>
    <col min="8" max="8" width="1.58203125" style="3" customWidth="1"/>
    <col min="9" max="9" width="24" style="3" customWidth="1"/>
    <col min="10" max="10" width="12.5" style="3" customWidth="1"/>
    <col min="11" max="11" width="10.08203125" style="3" customWidth="1"/>
    <col min="12" max="12" width="2.08203125" style="3" customWidth="1"/>
    <col min="13" max="13" width="2.58203125" style="3" hidden="1" customWidth="1"/>
    <col min="14" max="252" width="0" style="3" hidden="1" customWidth="1"/>
    <col min="253" max="253" width="8.58203125" style="3" hidden="1" customWidth="1"/>
    <col min="254" max="254" width="0" style="3" hidden="1" customWidth="1"/>
    <col min="255" max="16384" width="0" style="3" hidden="1"/>
  </cols>
  <sheetData>
    <row r="1" spans="3:12" ht="9" customHeight="1" thickBot="1">
      <c r="C1" s="31"/>
      <c r="E1" s="32"/>
    </row>
    <row r="2" spans="3:12" ht="15" thickBot="1">
      <c r="C2" s="106" t="s">
        <v>0</v>
      </c>
      <c r="D2" s="31"/>
      <c r="E2" s="3"/>
      <c r="F2" s="106" t="s">
        <v>1</v>
      </c>
      <c r="G2" s="31"/>
      <c r="I2" s="19" t="s">
        <v>2</v>
      </c>
      <c r="J2" s="20" t="s">
        <v>3</v>
      </c>
      <c r="K2" s="21" t="s">
        <v>4</v>
      </c>
      <c r="L2" s="95" t="s">
        <v>5</v>
      </c>
    </row>
    <row r="3" spans="3:12">
      <c r="C3" s="102" t="s">
        <v>6</v>
      </c>
      <c r="D3" s="103">
        <v>3864.31</v>
      </c>
      <c r="E3" s="3"/>
      <c r="F3" s="7" t="s">
        <v>1</v>
      </c>
      <c r="G3" s="4">
        <v>30</v>
      </c>
      <c r="I3" s="11" t="s">
        <v>7</v>
      </c>
      <c r="J3" s="12">
        <v>-852.98</v>
      </c>
      <c r="K3" s="11" t="s">
        <v>8</v>
      </c>
      <c r="L3" s="12"/>
    </row>
    <row r="4" spans="3:12" ht="15" thickBot="1">
      <c r="C4" s="187" t="s">
        <v>9</v>
      </c>
      <c r="D4" s="188">
        <f>SUMIF(K3:K29,"Yes*",J3:J29)</f>
        <v>0</v>
      </c>
      <c r="E4" s="3"/>
      <c r="F4" s="6" t="s">
        <v>465</v>
      </c>
      <c r="G4" s="5">
        <v>30</v>
      </c>
      <c r="I4" s="11" t="s">
        <v>10</v>
      </c>
      <c r="J4" s="12">
        <v>-244.8</v>
      </c>
      <c r="K4" s="11" t="s">
        <v>8</v>
      </c>
      <c r="L4" s="12" t="s">
        <v>11</v>
      </c>
    </row>
    <row r="5" spans="3:12">
      <c r="C5" s="104" t="s">
        <v>12</v>
      </c>
      <c r="D5" s="103">
        <v>3864.31</v>
      </c>
      <c r="E5" s="3"/>
      <c r="F5" s="24" t="s">
        <v>13</v>
      </c>
      <c r="G5" s="25">
        <v>67</v>
      </c>
      <c r="H5" s="9"/>
      <c r="I5" s="11" t="s">
        <v>14</v>
      </c>
      <c r="J5" s="12">
        <v>-25.56</v>
      </c>
      <c r="K5" s="11" t="s">
        <v>8</v>
      </c>
      <c r="L5" s="12"/>
    </row>
    <row r="6" spans="3:12" ht="15" thickBot="1">
      <c r="C6" s="189" t="s">
        <v>15</v>
      </c>
      <c r="D6" s="190">
        <f>SUMIF(K3:K33,"No",J3:J33)</f>
        <v>-3408.4900000000002</v>
      </c>
      <c r="E6" s="3"/>
      <c r="F6" s="24" t="s">
        <v>466</v>
      </c>
      <c r="G6" s="25">
        <v>50</v>
      </c>
      <c r="I6" s="11" t="s">
        <v>17</v>
      </c>
      <c r="J6" s="12">
        <v>-24.82</v>
      </c>
      <c r="K6" s="11" t="s">
        <v>8</v>
      </c>
      <c r="L6" s="12"/>
    </row>
    <row r="7" spans="3:12" ht="15" thickBot="1">
      <c r="C7" s="28" t="s">
        <v>18</v>
      </c>
      <c r="D7" s="29">
        <f>D6+D5</f>
        <v>455.81999999999971</v>
      </c>
      <c r="E7" s="3" t="s">
        <v>19</v>
      </c>
      <c r="F7" s="26" t="s">
        <v>28</v>
      </c>
      <c r="G7" s="27">
        <f>SUM(G3:G6)</f>
        <v>177</v>
      </c>
      <c r="I7" s="11" t="s">
        <v>21</v>
      </c>
      <c r="J7" s="12">
        <v>-13.2</v>
      </c>
      <c r="K7" s="11" t="s">
        <v>8</v>
      </c>
      <c r="L7" s="12"/>
    </row>
    <row r="8" spans="3:12" ht="15" thickBot="1">
      <c r="C8" s="107" t="s">
        <v>22</v>
      </c>
      <c r="D8" s="191">
        <f>SUMIF(L3:L33,"f",J3:J33)</f>
        <v>-1467.3</v>
      </c>
      <c r="E8" s="30"/>
      <c r="I8" s="11" t="s">
        <v>24</v>
      </c>
      <c r="J8" s="12">
        <v>-150</v>
      </c>
      <c r="K8" s="11" t="s">
        <v>8</v>
      </c>
      <c r="L8" s="12"/>
    </row>
    <row r="9" spans="3:12" ht="15" thickBot="1">
      <c r="C9" s="31"/>
      <c r="E9" s="30"/>
      <c r="F9" s="108" t="s">
        <v>31</v>
      </c>
      <c r="G9" s="109">
        <v>290</v>
      </c>
      <c r="I9" s="11" t="s">
        <v>25</v>
      </c>
      <c r="J9" s="12">
        <v>-27</v>
      </c>
      <c r="K9" s="11" t="s">
        <v>8</v>
      </c>
      <c r="L9" s="12"/>
    </row>
    <row r="10" spans="3:12">
      <c r="C10" s="31" t="s">
        <v>467</v>
      </c>
      <c r="D10" s="110">
        <v>4168.7299999999996</v>
      </c>
      <c r="E10"/>
      <c r="F10"/>
      <c r="G10" s="9"/>
      <c r="I10" s="11" t="s">
        <v>27</v>
      </c>
      <c r="J10" s="12">
        <v>-16.989999999999998</v>
      </c>
      <c r="K10" s="11" t="s">
        <v>8</v>
      </c>
      <c r="L10" s="12"/>
    </row>
    <row r="11" spans="3:12" ht="14">
      <c r="C11"/>
      <c r="D11"/>
      <c r="E11"/>
      <c r="F11" s="77"/>
      <c r="G11" s="9"/>
      <c r="I11" s="11" t="s">
        <v>29</v>
      </c>
      <c r="J11" s="12">
        <v>-395</v>
      </c>
      <c r="K11" s="11" t="s">
        <v>8</v>
      </c>
      <c r="L11" s="12"/>
    </row>
    <row r="12" spans="3:12" ht="14">
      <c r="C12"/>
      <c r="D12" s="84">
        <f>D10-D3</f>
        <v>304.41999999999962</v>
      </c>
      <c r="E12"/>
      <c r="F12" s="77"/>
      <c r="I12" s="11" t="s">
        <v>30</v>
      </c>
      <c r="J12" s="12">
        <v>-13.99</v>
      </c>
      <c r="K12" s="11" t="s">
        <v>8</v>
      </c>
      <c r="L12" s="12"/>
    </row>
    <row r="13" spans="3:12" ht="14">
      <c r="C13"/>
      <c r="D13"/>
      <c r="E13"/>
      <c r="F13" s="77"/>
      <c r="I13" s="11" t="s">
        <v>32</v>
      </c>
      <c r="J13" s="101">
        <v>-25</v>
      </c>
      <c r="K13" s="11" t="s">
        <v>8</v>
      </c>
      <c r="L13" s="12"/>
    </row>
    <row r="14" spans="3:12" ht="14">
      <c r="C14"/>
      <c r="D14"/>
      <c r="E14"/>
      <c r="F14"/>
      <c r="I14" s="11" t="s">
        <v>33</v>
      </c>
      <c r="J14" s="12">
        <v>-198</v>
      </c>
      <c r="K14" s="11" t="s">
        <v>8</v>
      </c>
      <c r="L14" s="12"/>
    </row>
    <row r="15" spans="3:12" ht="14">
      <c r="C15" s="88" t="s">
        <v>7</v>
      </c>
      <c r="D15"/>
      <c r="E15"/>
      <c r="F15" s="77"/>
      <c r="I15" s="11" t="s">
        <v>34</v>
      </c>
      <c r="J15" s="12">
        <v>-16</v>
      </c>
      <c r="K15" s="11" t="s">
        <v>8</v>
      </c>
      <c r="L15" s="12"/>
    </row>
    <row r="16" spans="3:12" ht="14">
      <c r="C16" s="86" t="s">
        <v>35</v>
      </c>
      <c r="D16" s="87">
        <v>167660.10999999999</v>
      </c>
      <c r="E16"/>
      <c r="F16"/>
      <c r="I16" s="11" t="s">
        <v>36</v>
      </c>
      <c r="J16" s="12">
        <v>-6.25</v>
      </c>
      <c r="K16" s="11" t="s">
        <v>8</v>
      </c>
      <c r="L16" s="12"/>
    </row>
    <row r="17" spans="1:13" ht="14">
      <c r="C17" s="86" t="s">
        <v>37</v>
      </c>
      <c r="D17" s="87">
        <v>87559.93</v>
      </c>
      <c r="E17"/>
      <c r="F17"/>
      <c r="I17" s="11" t="s">
        <v>34</v>
      </c>
      <c r="J17" s="12">
        <v>-28</v>
      </c>
      <c r="K17" s="11" t="s">
        <v>8</v>
      </c>
      <c r="L17" s="12"/>
    </row>
    <row r="18" spans="1:13" ht="14">
      <c r="C18" s="89" t="s">
        <v>38</v>
      </c>
      <c r="D18" s="90">
        <f>SUM(D16:D17)</f>
        <v>255220.03999999998</v>
      </c>
      <c r="E18"/>
      <c r="F18"/>
      <c r="I18" s="11" t="s">
        <v>39</v>
      </c>
      <c r="J18" s="12">
        <v>-2</v>
      </c>
      <c r="K18" s="11" t="s">
        <v>8</v>
      </c>
      <c r="L18" s="12"/>
    </row>
    <row r="19" spans="1:13">
      <c r="C19" s="92" t="s">
        <v>40</v>
      </c>
      <c r="D19" s="93">
        <f>D20*0.2</f>
        <v>84000</v>
      </c>
      <c r="E19"/>
      <c r="F19" t="s">
        <v>41</v>
      </c>
      <c r="G19" s="3">
        <v>1082</v>
      </c>
      <c r="I19" s="11" t="s">
        <v>42</v>
      </c>
      <c r="J19" s="12">
        <v>-450</v>
      </c>
      <c r="K19" s="11" t="s">
        <v>8</v>
      </c>
      <c r="L19" s="12" t="s">
        <v>11</v>
      </c>
    </row>
    <row r="20" spans="1:13" ht="14">
      <c r="C20" s="86" t="s">
        <v>43</v>
      </c>
      <c r="D20" s="87">
        <v>420000</v>
      </c>
      <c r="E20"/>
      <c r="F20" t="s">
        <v>44</v>
      </c>
      <c r="G20" s="3">
        <v>160</v>
      </c>
      <c r="I20" s="11"/>
      <c r="J20" s="12"/>
      <c r="K20" s="11" t="s">
        <v>8</v>
      </c>
      <c r="L20" s="12" t="s">
        <v>11</v>
      </c>
    </row>
    <row r="21" spans="1:13" ht="14">
      <c r="C21" s="91" t="s">
        <v>46</v>
      </c>
      <c r="D21" s="94">
        <f>SUM(D18:D19)-D20</f>
        <v>-80779.960000000021</v>
      </c>
      <c r="E21"/>
      <c r="F21" t="s">
        <v>44</v>
      </c>
      <c r="I21" s="11" t="s">
        <v>47</v>
      </c>
      <c r="J21" s="12">
        <v>-12.5</v>
      </c>
      <c r="K21" s="11" t="s">
        <v>8</v>
      </c>
      <c r="L21" s="12" t="s">
        <v>11</v>
      </c>
    </row>
    <row r="22" spans="1:13" ht="14">
      <c r="C22"/>
      <c r="D22"/>
      <c r="E22"/>
      <c r="F22" t="s">
        <v>44</v>
      </c>
      <c r="I22" s="11" t="s">
        <v>13</v>
      </c>
      <c r="J22" s="12">
        <v>-74</v>
      </c>
      <c r="K22" s="11" t="s">
        <v>8</v>
      </c>
      <c r="L22" s="12"/>
    </row>
    <row r="23" spans="1:13">
      <c r="C23" s="31"/>
      <c r="E23"/>
      <c r="F23" t="s">
        <v>44</v>
      </c>
      <c r="I23" s="11" t="s">
        <v>49</v>
      </c>
      <c r="J23" s="12">
        <v>-750</v>
      </c>
      <c r="K23" s="11" t="s">
        <v>8</v>
      </c>
      <c r="L23" s="12" t="s">
        <v>11</v>
      </c>
    </row>
    <row r="24" spans="1:13">
      <c r="C24" s="31"/>
      <c r="E24"/>
      <c r="F24"/>
      <c r="G24" s="3">
        <f>SUM(G20:G23)-G19</f>
        <v>-922</v>
      </c>
      <c r="I24" s="11" t="s">
        <v>382</v>
      </c>
      <c r="J24" s="12">
        <v>-10</v>
      </c>
      <c r="K24" s="11" t="s">
        <v>8</v>
      </c>
      <c r="L24" s="12" t="s">
        <v>11</v>
      </c>
    </row>
    <row r="25" spans="1:13">
      <c r="C25" s="31"/>
      <c r="E25" s="32"/>
      <c r="I25" s="11" t="s">
        <v>52</v>
      </c>
      <c r="J25" s="12">
        <v>-7.4</v>
      </c>
      <c r="K25" s="11" t="s">
        <v>8</v>
      </c>
      <c r="L25" s="12"/>
    </row>
    <row r="26" spans="1:13">
      <c r="C26" s="31"/>
      <c r="E26" s="32"/>
      <c r="I26" s="11" t="s">
        <v>54</v>
      </c>
      <c r="J26" s="12"/>
      <c r="K26" s="11" t="s">
        <v>8</v>
      </c>
      <c r="L26" s="12" t="s">
        <v>11</v>
      </c>
    </row>
    <row r="27" spans="1:13">
      <c r="C27" s="31"/>
      <c r="E27" s="32"/>
      <c r="I27" s="11" t="s">
        <v>55</v>
      </c>
      <c r="J27" s="12">
        <v>-35</v>
      </c>
      <c r="K27" s="11" t="s">
        <v>8</v>
      </c>
      <c r="L27" s="12"/>
    </row>
    <row r="28" spans="1:13">
      <c r="C28" s="31"/>
      <c r="E28" s="32"/>
      <c r="I28" s="11" t="s">
        <v>57</v>
      </c>
      <c r="J28" s="12">
        <v>-30</v>
      </c>
      <c r="K28" s="11" t="s">
        <v>8</v>
      </c>
      <c r="L28" s="12"/>
    </row>
    <row r="29" spans="1:13">
      <c r="C29" s="31"/>
      <c r="E29" s="32"/>
      <c r="I29" s="11" t="s">
        <v>468</v>
      </c>
      <c r="J29" s="12"/>
      <c r="K29" s="11" t="s">
        <v>8</v>
      </c>
      <c r="L29" s="12"/>
      <c r="M29" s="15"/>
    </row>
    <row r="30" spans="1:13">
      <c r="C30" s="31"/>
      <c r="E30" s="32"/>
      <c r="I30" s="11"/>
      <c r="J30" s="12"/>
      <c r="K30" s="11" t="s">
        <v>8</v>
      </c>
      <c r="L30" s="12" t="s">
        <v>11</v>
      </c>
    </row>
    <row r="31" spans="1:13">
      <c r="A31" s="14"/>
      <c r="B31" s="14"/>
      <c r="C31" s="31"/>
      <c r="E31" s="32"/>
      <c r="I31" s="11"/>
      <c r="J31" s="12"/>
      <c r="K31" s="11" t="s">
        <v>8</v>
      </c>
      <c r="L31" s="12"/>
    </row>
    <row r="32" spans="1:13">
      <c r="C32" s="31"/>
      <c r="E32" s="32"/>
      <c r="H32" s="30"/>
      <c r="I32" s="11"/>
      <c r="J32" s="12"/>
      <c r="K32" s="11" t="s">
        <v>8</v>
      </c>
      <c r="L32" s="12"/>
    </row>
    <row r="33" spans="8:12">
      <c r="H33" s="30"/>
      <c r="I33" s="11"/>
      <c r="J33" s="12"/>
      <c r="K33" s="11" t="s">
        <v>8</v>
      </c>
      <c r="L33" s="12"/>
    </row>
    <row r="34" spans="8:12">
      <c r="H34" s="30"/>
    </row>
    <row r="35" spans="8:12">
      <c r="H35" s="30"/>
    </row>
    <row r="36" spans="8:12">
      <c r="H36" s="30"/>
    </row>
    <row r="37" spans="8:12">
      <c r="H37" s="30"/>
    </row>
    <row r="38" spans="8:12">
      <c r="H38" s="30"/>
    </row>
    <row r="39" spans="8:12">
      <c r="H39" s="30"/>
    </row>
    <row r="40" spans="8:12">
      <c r="H40" s="30"/>
    </row>
    <row r="41" spans="8:12">
      <c r="H41" s="30"/>
    </row>
    <row r="42" spans="8:12">
      <c r="H42" s="30"/>
    </row>
    <row r="43" spans="8:12">
      <c r="H43" s="30"/>
    </row>
    <row r="44" spans="8:12">
      <c r="H44" s="30"/>
    </row>
    <row r="45" spans="8:12">
      <c r="H45" s="30"/>
    </row>
    <row r="46" spans="8:12">
      <c r="H46" s="30"/>
    </row>
    <row r="47" spans="8:12">
      <c r="H47" s="30"/>
    </row>
    <row r="48" spans="8:12">
      <c r="H48" s="30"/>
    </row>
  </sheetData>
  <autoFilter ref="I2:L33" xr:uid="{00000000-0009-0000-0000-00003D000000}"/>
  <conditionalFormatting sqref="I3:L3 I4:J12 L4:L32 K4:K33 I13 I14:J32">
    <cfRule type="expression" dxfId="0" priority="1">
      <formula>$A$3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A015D09467E4695AFF26312D8398F" ma:contentTypeVersion="11" ma:contentTypeDescription="Create a new document." ma:contentTypeScope="" ma:versionID="da6a4637ebc96fc1e420ba0931870c07">
  <xsd:schema xmlns:xsd="http://www.w3.org/2001/XMLSchema" xmlns:xs="http://www.w3.org/2001/XMLSchema" xmlns:p="http://schemas.microsoft.com/office/2006/metadata/properties" xmlns:ns3="5ceb5d82-fe75-4f15-8bff-92335c55de08" xmlns:ns4="76ffda2b-6dde-4668-bb01-488cd31dfe4e" targetNamespace="http://schemas.microsoft.com/office/2006/metadata/properties" ma:root="true" ma:fieldsID="4ac410f046d3302f10c4f595ab3d0f39" ns3:_="" ns4:_="">
    <xsd:import namespace="5ceb5d82-fe75-4f15-8bff-92335c55de08"/>
    <xsd:import namespace="76ffda2b-6dde-4668-bb01-488cd31dfe4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b5d82-fe75-4f15-8bff-92335c55de0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ffda2b-6dde-4668-bb01-488cd31dfe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E2BEF2-0526-48BC-B7F8-0F69A956B8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7143E7-EC95-4BD0-997E-6BC084A6C86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ceb5d82-fe75-4f15-8bff-92335c55de08"/>
    <ds:schemaRef ds:uri="76ffda2b-6dde-4668-bb01-488cd31dfe4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5B2781-D538-4277-9194-5A3578B0DA5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3A00018-C11F-44C3-AA1F-9F888C76EF16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92</vt:i4>
      </vt:variant>
      <vt:variant>
        <vt:lpstr>Named Ranges</vt:lpstr>
      </vt:variant>
      <vt:variant>
        <vt:i4>68</vt:i4>
      </vt:variant>
    </vt:vector>
  </HeadingPairs>
  <TitlesOfParts>
    <vt:vector size="160" baseType="lpstr">
      <vt:lpstr>april </vt:lpstr>
      <vt:lpstr>feb26</vt:lpstr>
      <vt:lpstr>jan26</vt:lpstr>
      <vt:lpstr>dec25</vt:lpstr>
      <vt:lpstr>nov25</vt:lpstr>
      <vt:lpstr>oct25</vt:lpstr>
      <vt:lpstr>sept25</vt:lpstr>
      <vt:lpstr>aug25</vt:lpstr>
      <vt:lpstr>july25</vt:lpstr>
      <vt:lpstr>xmas</vt:lpstr>
      <vt:lpstr>june25</vt:lpstr>
      <vt:lpstr>may25</vt:lpstr>
      <vt:lpstr>april25</vt:lpstr>
      <vt:lpstr>mar25</vt:lpstr>
      <vt:lpstr>feb25</vt:lpstr>
      <vt:lpstr>jan25</vt:lpstr>
      <vt:lpstr>minium 25</vt:lpstr>
      <vt:lpstr>dec24</vt:lpstr>
      <vt:lpstr>nov24</vt:lpstr>
      <vt:lpstr>oct24</vt:lpstr>
      <vt:lpstr>may24</vt:lpstr>
      <vt:lpstr>sept24</vt:lpstr>
      <vt:lpstr>aug 24</vt:lpstr>
      <vt:lpstr>july</vt:lpstr>
      <vt:lpstr>june24</vt:lpstr>
      <vt:lpstr>apr24</vt:lpstr>
      <vt:lpstr>mar24</vt:lpstr>
      <vt:lpstr>feb24</vt:lpstr>
      <vt:lpstr>jan24</vt:lpstr>
      <vt:lpstr>dec23</vt:lpstr>
      <vt:lpstr>nov23</vt:lpstr>
      <vt:lpstr>oct23</vt:lpstr>
      <vt:lpstr>sept23</vt:lpstr>
      <vt:lpstr>aug24</vt:lpstr>
      <vt:lpstr>July23</vt:lpstr>
      <vt:lpstr>june23</vt:lpstr>
      <vt:lpstr>may23</vt:lpstr>
      <vt:lpstr>aprl23</vt:lpstr>
      <vt:lpstr>mar23</vt:lpstr>
      <vt:lpstr>feb23</vt:lpstr>
      <vt:lpstr>Jan23</vt:lpstr>
      <vt:lpstr>dec</vt:lpstr>
      <vt:lpstr>nov22</vt:lpstr>
      <vt:lpstr>oct2</vt:lpstr>
      <vt:lpstr>oct22</vt:lpstr>
      <vt:lpstr>sept</vt:lpstr>
      <vt:lpstr>aug22</vt:lpstr>
      <vt:lpstr>july22</vt:lpstr>
      <vt:lpstr>june</vt:lpstr>
      <vt:lpstr>may22</vt:lpstr>
      <vt:lpstr>april22</vt:lpstr>
      <vt:lpstr>march22</vt:lpstr>
      <vt:lpstr>Feb22</vt:lpstr>
      <vt:lpstr>jAN22</vt:lpstr>
      <vt:lpstr>FebEstimate</vt:lpstr>
      <vt:lpstr>Minimum</vt:lpstr>
      <vt:lpstr>eBay (2)</vt:lpstr>
      <vt:lpstr>eBay</vt:lpstr>
      <vt:lpstr>emergancy month</vt:lpstr>
      <vt:lpstr>Sheet3</vt:lpstr>
      <vt:lpstr>min new</vt:lpstr>
      <vt:lpstr>Goals</vt:lpstr>
      <vt:lpstr>Sheet5</vt:lpstr>
      <vt:lpstr>dec21</vt:lpstr>
      <vt:lpstr>Nov21</vt:lpstr>
      <vt:lpstr>Oct21</vt:lpstr>
      <vt:lpstr>Sept21</vt:lpstr>
      <vt:lpstr>Aug21</vt:lpstr>
      <vt:lpstr>july21</vt:lpstr>
      <vt:lpstr>NewMoney</vt:lpstr>
      <vt:lpstr>june21</vt:lpstr>
      <vt:lpstr>may21</vt:lpstr>
      <vt:lpstr>apr21</vt:lpstr>
      <vt:lpstr>march21</vt:lpstr>
      <vt:lpstr>feb 21</vt:lpstr>
      <vt:lpstr>jan21</vt:lpstr>
      <vt:lpstr>dec202</vt:lpstr>
      <vt:lpstr>Nov2020</vt:lpstr>
      <vt:lpstr>Oct2020</vt:lpstr>
      <vt:lpstr>sept2020</vt:lpstr>
      <vt:lpstr>aug2020</vt:lpstr>
      <vt:lpstr>Summary</vt:lpstr>
      <vt:lpstr>Jul2020</vt:lpstr>
      <vt:lpstr>Jun2020</vt:lpstr>
      <vt:lpstr>May2020</vt:lpstr>
      <vt:lpstr>Apr2020</vt:lpstr>
      <vt:lpstr>Sheet1</vt:lpstr>
      <vt:lpstr>Sheet2</vt:lpstr>
      <vt:lpstr>Mar2020</vt:lpstr>
      <vt:lpstr>Feb2020</vt:lpstr>
      <vt:lpstr>Jan2020</vt:lpstr>
      <vt:lpstr>min</vt:lpstr>
      <vt:lpstr>'apr21'!_FilterDatabase</vt:lpstr>
      <vt:lpstr>'apr24'!_FilterDatabase</vt:lpstr>
      <vt:lpstr>'april '!_FilterDatabase</vt:lpstr>
      <vt:lpstr>april22!_FilterDatabase</vt:lpstr>
      <vt:lpstr>april25!_FilterDatabase</vt:lpstr>
      <vt:lpstr>aprl23!_FilterDatabase</vt:lpstr>
      <vt:lpstr>'aug 24'!_FilterDatabase</vt:lpstr>
      <vt:lpstr>'Aug21'!_FilterDatabase</vt:lpstr>
      <vt:lpstr>'aug22'!_FilterDatabase</vt:lpstr>
      <vt:lpstr>'aug24'!_FilterDatabase</vt:lpstr>
      <vt:lpstr>'aug25'!_FilterDatabase</vt:lpstr>
      <vt:lpstr>dec!_FilterDatabase</vt:lpstr>
      <vt:lpstr>'dec21'!_FilterDatabase</vt:lpstr>
      <vt:lpstr>'dec23'!_FilterDatabase</vt:lpstr>
      <vt:lpstr>'dec24'!_FilterDatabase</vt:lpstr>
      <vt:lpstr>'dec25'!_FilterDatabase</vt:lpstr>
      <vt:lpstr>'emergancy month'!_FilterDatabase</vt:lpstr>
      <vt:lpstr>'Feb22'!_FilterDatabase</vt:lpstr>
      <vt:lpstr>'feb23'!_FilterDatabase</vt:lpstr>
      <vt:lpstr>'feb24'!_FilterDatabase</vt:lpstr>
      <vt:lpstr>'feb25'!_FilterDatabase</vt:lpstr>
      <vt:lpstr>'feb26'!_FilterDatabase</vt:lpstr>
      <vt:lpstr>FebEstimate!_FilterDatabase</vt:lpstr>
      <vt:lpstr>'jAN22'!_FilterDatabase</vt:lpstr>
      <vt:lpstr>'Jan23'!_FilterDatabase</vt:lpstr>
      <vt:lpstr>'jan24'!_FilterDatabase</vt:lpstr>
      <vt:lpstr>'jan25'!_FilterDatabase</vt:lpstr>
      <vt:lpstr>'jan26'!_FilterDatabase</vt:lpstr>
      <vt:lpstr>july!_FilterDatabase</vt:lpstr>
      <vt:lpstr>july21!_FilterDatabase</vt:lpstr>
      <vt:lpstr>july22!_FilterDatabase</vt:lpstr>
      <vt:lpstr>July23!_FilterDatabase</vt:lpstr>
      <vt:lpstr>july25!_FilterDatabase</vt:lpstr>
      <vt:lpstr>june!_FilterDatabase</vt:lpstr>
      <vt:lpstr>june21!_FilterDatabase</vt:lpstr>
      <vt:lpstr>june23!_FilterDatabase</vt:lpstr>
      <vt:lpstr>june24!_FilterDatabase</vt:lpstr>
      <vt:lpstr>june25!_FilterDatabase</vt:lpstr>
      <vt:lpstr>'mar23'!_FilterDatabase</vt:lpstr>
      <vt:lpstr>'mar24'!_FilterDatabase</vt:lpstr>
      <vt:lpstr>'mar25'!_FilterDatabase</vt:lpstr>
      <vt:lpstr>march22!_FilterDatabase</vt:lpstr>
      <vt:lpstr>'may21'!_FilterDatabase</vt:lpstr>
      <vt:lpstr>'may22'!_FilterDatabase</vt:lpstr>
      <vt:lpstr>'may23'!_FilterDatabase</vt:lpstr>
      <vt:lpstr>'may24'!_FilterDatabase</vt:lpstr>
      <vt:lpstr>'may25'!_FilterDatabase</vt:lpstr>
      <vt:lpstr>min!_FilterDatabase</vt:lpstr>
      <vt:lpstr>'min new'!_FilterDatabase</vt:lpstr>
      <vt:lpstr>Minimum!_FilterDatabase</vt:lpstr>
      <vt:lpstr>'minium 25'!_FilterDatabase</vt:lpstr>
      <vt:lpstr>NewMoney!_FilterDatabase</vt:lpstr>
      <vt:lpstr>'Nov21'!_FilterDatabase</vt:lpstr>
      <vt:lpstr>'nov22'!_FilterDatabase</vt:lpstr>
      <vt:lpstr>'nov23'!_FilterDatabase</vt:lpstr>
      <vt:lpstr>'nov24'!_FilterDatabase</vt:lpstr>
      <vt:lpstr>'nov25'!_FilterDatabase</vt:lpstr>
      <vt:lpstr>'oct2'!_FilterDatabase</vt:lpstr>
      <vt:lpstr>'Oct21'!_FilterDatabase</vt:lpstr>
      <vt:lpstr>'oct22'!_FilterDatabase</vt:lpstr>
      <vt:lpstr>'oct23'!_FilterDatabase</vt:lpstr>
      <vt:lpstr>'oct24'!_FilterDatabase</vt:lpstr>
      <vt:lpstr>'oct25'!_FilterDatabase</vt:lpstr>
      <vt:lpstr>sept!_FilterDatabase</vt:lpstr>
      <vt:lpstr>Sept21!_FilterDatabase</vt:lpstr>
      <vt:lpstr>sept23!_FilterDatabase</vt:lpstr>
      <vt:lpstr>sept24!_FilterDatabase</vt:lpstr>
      <vt:lpstr>sept25!_FilterDatabase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Bryant</dc:creator>
  <cp:keywords/>
  <dc:description/>
  <cp:lastModifiedBy>Francesca Bryant</cp:lastModifiedBy>
  <cp:revision>3</cp:revision>
  <dcterms:created xsi:type="dcterms:W3CDTF">2015-01-12T11:01:09Z</dcterms:created>
  <dcterms:modified xsi:type="dcterms:W3CDTF">2025-12-07T09:55:19Z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25cf2cf0-661a-4bfd-86a6-923ff743f825</vt:lpwstr>
  </property>
  <property fmtid="{D5CDD505-2E9C-101B-9397-08002B2CF9AE}" pid="3" name="ContentTypeId">
    <vt:lpwstr>0x010100755A015D09467E4695AFF26312D8398F</vt:lpwstr>
  </property>
</Properties>
</file>